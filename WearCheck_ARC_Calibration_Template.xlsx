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onfig" sheetId="1" state="hidden" r:id="rId1"/>
    <sheet name="Certificate_Input" sheetId="2" state="visible" r:id="rId2"/>
    <sheet name="Calibration_Data" sheetId="3" state="visible" r:id="rId3"/>
    <sheet name="Reference_Standards" sheetId="4" state="visible" r:id="rId4"/>
    <sheet name="Audit_Log"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0.000"/>
  </numFmts>
  <fonts count="8">
    <font>
      <name val="Calibri"/>
      <family val="2"/>
      <color theme="1"/>
      <sz val="11"/>
      <scheme val="minor"/>
    </font>
    <font>
      <b val="1"/>
      <color rgb="00C2040B"/>
      <sz val="11"/>
    </font>
    <font>
      <b val="1"/>
      <color rgb="00FFFFFF"/>
      <sz val="10"/>
    </font>
    <font>
      <b val="1"/>
      <sz val="10"/>
    </font>
    <font>
      <b val="1"/>
      <color rgb="00C2040B"/>
      <sz val="14"/>
    </font>
    <font>
      <i val="1"/>
      <color rgb="00666666"/>
      <sz val="9"/>
    </font>
    <font>
      <i val="1"/>
      <sz val="9"/>
    </font>
    <font>
      <b val="1"/>
      <sz val="12"/>
    </font>
  </fonts>
  <fills count="7">
    <fill>
      <patternFill/>
    </fill>
    <fill>
      <patternFill patternType="gray125"/>
    </fill>
    <fill>
      <patternFill patternType="solid">
        <fgColor rgb="001A1A1A"/>
        <bgColor rgb="001A1A1A"/>
      </patternFill>
    </fill>
    <fill>
      <patternFill patternType="solid">
        <fgColor rgb="00E6E6E6"/>
        <bgColor rgb="00E6E6E6"/>
      </patternFill>
    </fill>
    <fill>
      <patternFill patternType="solid">
        <fgColor rgb="00FFFFF0"/>
        <bgColor rgb="00FFFFF0"/>
      </patternFill>
    </fill>
    <fill>
      <patternFill patternType="solid">
        <fgColor rgb="00C2040B"/>
        <bgColor rgb="00C2040B"/>
      </patternFill>
    </fill>
    <fill>
      <patternFill patternType="solid">
        <fgColor rgb="00F2F2F2"/>
        <bgColor rgb="00F2F2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 fillId="3" borderId="0" pivotButton="0" quotePrefix="0" xfId="0"/>
    <xf numFmtId="0" fontId="0" fillId="3" borderId="0" pivotButton="0" quotePrefix="0" xfId="0"/>
    <xf numFmtId="0" fontId="3" fillId="0" borderId="1" pivotButton="0" quotePrefix="0" xfId="0"/>
    <xf numFmtId="0" fontId="3" fillId="4" borderId="1" pivotButton="0" quotePrefix="0" xfId="0"/>
    <xf numFmtId="0" fontId="3" fillId="0" borderId="1" applyAlignment="1" pivotButton="0" quotePrefix="0" xfId="0">
      <alignment horizontal="left" vertical="center" wrapText="1"/>
    </xf>
    <xf numFmtId="164" fontId="0" fillId="4" borderId="1" applyAlignment="1" pivotButton="0" quotePrefix="0" xfId="0">
      <alignment horizontal="left" vertical="center" wrapText="1"/>
    </xf>
    <xf numFmtId="0" fontId="0" fillId="4" borderId="1" applyAlignment="1" pivotButton="0" quotePrefix="0" xfId="0">
      <alignment horizontal="left" vertical="center" wrapText="1"/>
    </xf>
    <xf numFmtId="0" fontId="6" fillId="0" borderId="0" applyAlignment="1" pivotButton="0" quotePrefix="0" xfId="0">
      <alignment vertical="top" wrapText="1"/>
    </xf>
    <xf numFmtId="0" fontId="7"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4" borderId="1" applyAlignment="1" pivotButton="0" quotePrefix="0" xfId="0">
      <alignment horizontal="center" vertical="center" wrapText="1"/>
    </xf>
    <xf numFmtId="165" fontId="0"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3" pivotButton="0" quotePrefix="0" xfId="0"/>
    <xf numFmtId="0" fontId="0" fillId="0" borderId="4" pivotButton="0" quotePrefix="0" xfId="0"/>
    <xf numFmtId="164" fontId="0" fillId="4" borderId="1" applyAlignment="1" pivotButton="0" quotePrefix="0" xfId="0">
      <alignment horizontal="center" vertical="center" wrapText="1"/>
    </xf>
    <xf numFmtId="0" fontId="0" fillId="0" borderId="1" pivotButton="0" quotePrefix="0" xfId="0"/>
    <xf numFmtId="0" fontId="0" fillId="4" borderId="1" pivotButton="0" quotePrefix="0" xfId="0"/>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22" customWidth="1" min="1" max="1"/>
    <col width="22" customWidth="1" min="2" max="2"/>
    <col width="22" customWidth="1" min="3" max="3"/>
    <col width="22" customWidth="1" min="5" max="5"/>
    <col width="22" customWidth="1" min="6" max="6"/>
    <col width="22" customWidth="1" min="7" max="7"/>
    <col width="22" customWidth="1" min="9" max="9"/>
    <col width="22" customWidth="1" min="10" max="10"/>
    <col width="22" customWidth="1" min="11" max="11"/>
    <col width="22" customWidth="1" min="13" max="13"/>
  </cols>
  <sheetData>
    <row r="1">
      <c r="A1" s="1" t="inlineStr">
        <is>
          <t>Equipment Types</t>
        </is>
      </c>
      <c r="B1" s="1" t="inlineStr">
        <is>
          <t>Detector Types</t>
        </is>
      </c>
      <c r="C1" s="1" t="inlineStr">
        <is>
          <t>Procedure IDs</t>
        </is>
      </c>
      <c r="E1" s="1" t="inlineStr">
        <is>
          <t>Tolerance Table</t>
        </is>
      </c>
      <c r="I1" s="1" t="inlineStr">
        <is>
          <t>Technicians</t>
        </is>
      </c>
      <c r="J1" s="1" t="inlineStr">
        <is>
          <t>Reviewers</t>
        </is>
      </c>
      <c r="K1" s="1" t="inlineStr">
        <is>
          <t>Approvers</t>
        </is>
      </c>
      <c r="M1" s="1" t="inlineStr">
        <is>
          <t>Cert Number Prefix</t>
        </is>
      </c>
    </row>
    <row r="2">
      <c r="A2" t="inlineStr">
        <is>
          <t>Spectrometer</t>
        </is>
      </c>
      <c r="B2" t="inlineStr">
        <is>
          <t>Survey Probe</t>
        </is>
      </c>
      <c r="C2" t="inlineStr">
        <is>
          <t>WC-CAL-001 Spectrometer Calibration</t>
        </is>
      </c>
      <c r="E2" s="2" t="inlineStr">
        <is>
          <t>Parameter</t>
        </is>
      </c>
      <c r="F2" s="2" t="inlineStr">
        <is>
          <t>Unit</t>
        </is>
      </c>
      <c r="G2" s="2" t="inlineStr">
        <is>
          <t>Tolerance (+/-)</t>
        </is>
      </c>
      <c r="I2" t="inlineStr">
        <is>
          <t>Tech 1</t>
        </is>
      </c>
      <c r="J2" t="inlineStr">
        <is>
          <t>Reviewer 1</t>
        </is>
      </c>
      <c r="K2" t="inlineStr">
        <is>
          <t>Approver 1</t>
        </is>
      </c>
      <c r="M2" t="inlineStr">
        <is>
          <t>WC-ARC-CAL-</t>
        </is>
      </c>
    </row>
    <row r="3">
      <c r="A3" t="inlineStr">
        <is>
          <t>Particle Counter</t>
        </is>
      </c>
      <c r="B3" t="inlineStr">
        <is>
          <t>Inclinometer</t>
        </is>
      </c>
      <c r="C3" t="inlineStr">
        <is>
          <t>WC-CAL-002 Particle Counter Calibration</t>
        </is>
      </c>
      <c r="E3" s="3" t="inlineStr">
        <is>
          <t>Detector Response</t>
        </is>
      </c>
      <c r="F3" s="3" t="inlineStr">
        <is>
          <t>%</t>
        </is>
      </c>
      <c r="G3" s="3" t="n">
        <v>2</v>
      </c>
      <c r="I3" t="inlineStr">
        <is>
          <t>Tech 2</t>
        </is>
      </c>
      <c r="J3" t="inlineStr">
        <is>
          <t>Reviewer 2</t>
        </is>
      </c>
      <c r="K3" t="inlineStr">
        <is>
          <t>Approver 2</t>
        </is>
      </c>
      <c r="M3" s="4" t="inlineStr">
        <is>
          <t>Next Sequence</t>
        </is>
      </c>
    </row>
    <row r="4">
      <c r="A4" t="inlineStr">
        <is>
          <t>Viscometer</t>
        </is>
      </c>
      <c r="B4" t="inlineStr">
        <is>
          <t>Gyroscope</t>
        </is>
      </c>
      <c r="C4" t="inlineStr">
        <is>
          <t>WC-CAL-003 Viscometer Calibration</t>
        </is>
      </c>
      <c r="E4" s="3" t="inlineStr">
        <is>
          <t>Inclinometer</t>
        </is>
      </c>
      <c r="F4" s="3" t="inlineStr">
        <is>
          <t>degrees</t>
        </is>
      </c>
      <c r="G4" s="3" t="n">
        <v>0.5</v>
      </c>
      <c r="I4" t="inlineStr">
        <is>
          <t>Tech 3</t>
        </is>
      </c>
      <c r="M4" t="n">
        <v>1</v>
      </c>
    </row>
    <row r="5">
      <c r="A5" t="inlineStr">
        <is>
          <t>Moisture Analyser</t>
        </is>
      </c>
      <c r="B5" t="inlineStr">
        <is>
          <t>Magnetometer</t>
        </is>
      </c>
      <c r="C5" t="inlineStr">
        <is>
          <t>WC-CAL-004 Detector Calibration</t>
        </is>
      </c>
      <c r="E5" s="3" t="inlineStr">
        <is>
          <t>Gyroscope</t>
        </is>
      </c>
      <c r="F5" s="3" t="inlineStr">
        <is>
          <t>degrees</t>
        </is>
      </c>
      <c r="G5" s="3" t="n">
        <v>1</v>
      </c>
    </row>
    <row r="6">
      <c r="A6" t="inlineStr">
        <is>
          <t>Ferrograph</t>
        </is>
      </c>
      <c r="B6" t="inlineStr">
        <is>
          <t>Accelerometer</t>
        </is>
      </c>
      <c r="C6" t="inlineStr">
        <is>
          <t>WC-CAL-005 Inclinometer Calibration</t>
        </is>
      </c>
      <c r="E6" s="3" t="inlineStr">
        <is>
          <t>Temperature</t>
        </is>
      </c>
      <c r="F6" s="3" t="inlineStr">
        <is>
          <t>°C</t>
        </is>
      </c>
      <c r="G6" s="3" t="n">
        <v>2</v>
      </c>
    </row>
    <row r="7">
      <c r="A7" t="inlineStr">
        <is>
          <t>Titrator</t>
        </is>
      </c>
      <c r="B7" t="inlineStr">
        <is>
          <t>N/A</t>
        </is>
      </c>
      <c r="C7" t="inlineStr">
        <is>
          <t>WC-CAL-006 Gyroscope Calibration</t>
        </is>
      </c>
      <c r="E7" s="3" t="inlineStr">
        <is>
          <t>Humidity</t>
        </is>
      </c>
      <c r="F7" s="3" t="inlineStr">
        <is>
          <t>%RH</t>
        </is>
      </c>
      <c r="G7" s="3" t="n">
        <v>5</v>
      </c>
    </row>
    <row r="8">
      <c r="A8" t="inlineStr">
        <is>
          <t>pH Meter</t>
        </is>
      </c>
      <c r="C8" t="inlineStr">
        <is>
          <t>WC-CAL-007 General Instrument Calibration</t>
        </is>
      </c>
      <c r="E8" s="3" t="inlineStr">
        <is>
          <t>Voltage</t>
        </is>
      </c>
      <c r="F8" s="3" t="inlineStr">
        <is>
          <t>V</t>
        </is>
      </c>
      <c r="G8" s="3" t="n">
        <v>0.05</v>
      </c>
    </row>
    <row r="9">
      <c r="A9" t="inlineStr">
        <is>
          <t>Conductivity Meter</t>
        </is>
      </c>
      <c r="E9" s="3" t="inlineStr">
        <is>
          <t>Current</t>
        </is>
      </c>
      <c r="F9" s="3" t="inlineStr">
        <is>
          <t>mA</t>
        </is>
      </c>
      <c r="G9" s="3" t="n">
        <v>0.01</v>
      </c>
    </row>
    <row r="10">
      <c r="A10"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F67"/>
  <sheetViews>
    <sheetView workbookViewId="0">
      <selection activeCell="A1" sqref="A1"/>
    </sheetView>
  </sheetViews>
  <sheetFormatPr baseColWidth="8" defaultRowHeight="15"/>
  <cols>
    <col width="4" customWidth="1" min="1" max="1"/>
    <col width="28" customWidth="1" min="2" max="2"/>
    <col width="30" customWidth="1" min="3" max="3"/>
    <col width="4" customWidth="1" min="4" max="4"/>
    <col width="28" customWidth="1" min="5" max="5"/>
    <col width="30" customWidth="1" min="6" max="6"/>
  </cols>
  <sheetData>
    <row r="2">
      <c r="B2" s="5" t="inlineStr">
        <is>
          <t>WEARCHECK ARC — CALIBRATION CERTIFICATE INPUT</t>
        </is>
      </c>
    </row>
    <row r="3">
      <c r="B3" s="6" t="inlineStr">
        <is>
          <t>Complete all fields below. Yellow cells require input.</t>
        </is>
      </c>
    </row>
    <row r="5">
      <c r="B5" s="7" t="inlineStr">
        <is>
          <t>CERTIFICATE INFORMATION</t>
        </is>
      </c>
      <c r="C5" s="8" t="n"/>
      <c r="D5" s="8" t="n"/>
      <c r="E5" s="8" t="n"/>
      <c r="F5" s="8" t="n"/>
    </row>
    <row r="6">
      <c r="B6" s="9" t="inlineStr">
        <is>
          <t>Certificate Number</t>
        </is>
      </c>
      <c r="C6" s="10">
        <f>Config!M2&amp;TEXT(Config!M4,"0000")</f>
        <v/>
      </c>
    </row>
    <row r="7">
      <c r="B7" s="11" t="inlineStr">
        <is>
          <t>Date of Issue</t>
        </is>
      </c>
      <c r="C7" s="12" t="n"/>
    </row>
    <row r="8">
      <c r="B8" s="11" t="inlineStr">
        <is>
          <t>Calibration Date</t>
        </is>
      </c>
      <c r="C8" s="12" t="n"/>
    </row>
    <row r="9">
      <c r="B9" s="11" t="inlineStr">
        <is>
          <t>Next Calibration Due</t>
        </is>
      </c>
      <c r="C9" s="12" t="n"/>
    </row>
    <row r="10">
      <c r="B10" s="11" t="inlineStr">
        <is>
          <t>Calibration Procedure</t>
        </is>
      </c>
      <c r="C10" s="13" t="n"/>
    </row>
    <row r="12">
      <c r="B12" s="7" t="inlineStr">
        <is>
          <t>EQUIPMENT UNDER TEST (EUT)</t>
        </is>
      </c>
      <c r="C12" s="8" t="n"/>
      <c r="D12" s="8" t="n"/>
      <c r="E12" s="8" t="n"/>
      <c r="F12" s="8" t="n"/>
    </row>
    <row r="13">
      <c r="B13" s="11" t="inlineStr">
        <is>
          <t>Equipment Name</t>
        </is>
      </c>
      <c r="C13" s="13" t="n"/>
    </row>
    <row r="14">
      <c r="B14" s="11" t="inlineStr">
        <is>
          <t>Manufacturer</t>
        </is>
      </c>
      <c r="C14" s="13" t="n"/>
    </row>
    <row r="15">
      <c r="B15" s="11" t="inlineStr">
        <is>
          <t>Model Number</t>
        </is>
      </c>
      <c r="C15" s="13" t="n"/>
    </row>
    <row r="16">
      <c r="B16" s="11" t="inlineStr">
        <is>
          <t>Serial Number</t>
        </is>
      </c>
      <c r="C16" s="13" t="n"/>
    </row>
    <row r="17">
      <c r="B17" s="11" t="inlineStr">
        <is>
          <t>Asset Number</t>
        </is>
      </c>
      <c r="C17" s="13" t="n"/>
    </row>
    <row r="18">
      <c r="B18" s="11" t="inlineStr">
        <is>
          <t>Location / Department</t>
        </is>
      </c>
      <c r="C18" s="13" t="n"/>
    </row>
    <row r="20">
      <c r="B20" s="7" t="inlineStr">
        <is>
          <t>SPECIFICATIONS &amp; TOLERANCES</t>
        </is>
      </c>
      <c r="C20" s="8" t="n"/>
      <c r="D20" s="8" t="n"/>
      <c r="E20" s="8" t="n"/>
      <c r="F20" s="8" t="n"/>
    </row>
    <row r="21">
      <c r="B21" s="11" t="inlineStr">
        <is>
          <t>Detector Tolerance (+/-)</t>
        </is>
      </c>
      <c r="C21" s="13" t="n"/>
    </row>
    <row r="22">
      <c r="B22" s="11" t="inlineStr">
        <is>
          <t>Inclinometer Tolerance (+/-)</t>
        </is>
      </c>
      <c r="C22" s="13" t="n"/>
    </row>
    <row r="23">
      <c r="B23" s="11" t="inlineStr">
        <is>
          <t>Gyroscope Tolerance (+/-)</t>
        </is>
      </c>
      <c r="C23" s="13" t="n"/>
    </row>
    <row r="25">
      <c r="B25" s="7" t="inlineStr">
        <is>
          <t>ENVIRONMENTAL CONDITIONS</t>
        </is>
      </c>
      <c r="C25" s="8" t="n"/>
      <c r="D25" s="8" t="n"/>
      <c r="E25" s="8" t="n"/>
      <c r="F25" s="8" t="n"/>
    </row>
    <row r="26">
      <c r="B26" s="11" t="inlineStr">
        <is>
          <t>Temperature (°C)</t>
        </is>
      </c>
      <c r="C26" s="13" t="n"/>
    </row>
    <row r="27">
      <c r="B27" s="11" t="inlineStr">
        <is>
          <t>Humidity (%RH)</t>
        </is>
      </c>
      <c r="C27" s="13" t="n"/>
    </row>
    <row r="28">
      <c r="B28" s="11" t="inlineStr">
        <is>
          <t>Atmospheric Pressure (kPa)</t>
        </is>
      </c>
      <c r="C28" s="13" t="n"/>
    </row>
    <row r="30">
      <c r="B30" s="7" t="inlineStr">
        <is>
          <t>CALIBRATION SOFTWARE</t>
        </is>
      </c>
      <c r="C30" s="8" t="n"/>
      <c r="D30" s="8" t="n"/>
      <c r="E30" s="8" t="n"/>
      <c r="F30" s="8" t="n"/>
    </row>
    <row r="31">
      <c r="B31" s="11" t="inlineStr">
        <is>
          <t>Software Manufacturer</t>
        </is>
      </c>
      <c r="C31" s="13" t="n"/>
    </row>
    <row r="32">
      <c r="B32" s="11" t="inlineStr">
        <is>
          <t>Software Name</t>
        </is>
      </c>
      <c r="C32" s="13" t="n"/>
    </row>
    <row r="33">
      <c r="B33" s="11" t="inlineStr">
        <is>
          <t>Software Version</t>
        </is>
      </c>
      <c r="C33" s="13" t="n"/>
    </row>
    <row r="35">
      <c r="B35" s="7" t="inlineStr">
        <is>
          <t>MOUNTING CONDITIONS &amp; CONSIDERATIONS</t>
        </is>
      </c>
      <c r="C35" s="8" t="n"/>
      <c r="D35" s="8" t="n"/>
      <c r="E35" s="8" t="n"/>
      <c r="F35" s="8" t="n"/>
    </row>
    <row r="36">
      <c r="B36" s="11" t="inlineStr">
        <is>
          <t>Mounting Torque</t>
        </is>
      </c>
      <c r="C36" s="13" t="n"/>
    </row>
    <row r="37">
      <c r="B37" s="11" t="inlineStr">
        <is>
          <t>Lubrication Used</t>
        </is>
      </c>
      <c r="C37" s="13" t="n"/>
    </row>
    <row r="38">
      <c r="B38" s="11" t="inlineStr">
        <is>
          <t>Mounting Orientation</t>
        </is>
      </c>
      <c r="C38" s="13" t="n"/>
    </row>
    <row r="39">
      <c r="B39" s="11" t="inlineStr">
        <is>
          <t>Cable Routing</t>
        </is>
      </c>
      <c r="C39" s="13" t="n"/>
    </row>
    <row r="40">
      <c r="B40" s="11" t="inlineStr">
        <is>
          <t>Reference Level</t>
        </is>
      </c>
      <c r="C40" s="13" t="n"/>
    </row>
    <row r="41">
      <c r="B41" s="11" t="inlineStr">
        <is>
          <t>gn Value</t>
        </is>
      </c>
      <c r="C41" s="13" t="n"/>
    </row>
    <row r="43">
      <c r="B43" s="7" t="inlineStr">
        <is>
          <t>AUTHORISATION — CALIBRATED BY (TECHNICIAN)</t>
        </is>
      </c>
      <c r="C43" s="8" t="n"/>
      <c r="D43" s="8" t="n"/>
      <c r="E43" s="8" t="n"/>
      <c r="F43" s="8" t="n"/>
    </row>
    <row r="44">
      <c r="B44" s="11" t="inlineStr">
        <is>
          <t>Tech Name</t>
        </is>
      </c>
      <c r="C44" s="13" t="n"/>
      <c r="E44" s="11" t="inlineStr">
        <is>
          <t>Tech Surname</t>
        </is>
      </c>
      <c r="F44" s="13" t="n"/>
    </row>
    <row r="45">
      <c r="B45" s="11" t="inlineStr">
        <is>
          <t>Tech Title</t>
        </is>
      </c>
      <c r="C45" s="13" t="n"/>
      <c r="E45" s="11" t="inlineStr">
        <is>
          <t>Tech Date Signed</t>
        </is>
      </c>
      <c r="F45" s="12" t="n"/>
    </row>
    <row r="46">
      <c r="B46" s="11" t="inlineStr">
        <is>
          <t>Tech Signature</t>
        </is>
      </c>
      <c r="C46" s="13" t="n"/>
    </row>
    <row r="48">
      <c r="B48" s="7" t="inlineStr">
        <is>
          <t>AUTHORISATION — REVIEWED BY</t>
        </is>
      </c>
      <c r="C48" s="8" t="n"/>
      <c r="D48" s="8" t="n"/>
      <c r="E48" s="8" t="n"/>
      <c r="F48" s="8" t="n"/>
    </row>
    <row r="49">
      <c r="B49" s="11" t="inlineStr">
        <is>
          <t>Reviewer Name</t>
        </is>
      </c>
      <c r="C49" s="13" t="n"/>
      <c r="E49" s="11" t="inlineStr">
        <is>
          <t>Reviewer Surname</t>
        </is>
      </c>
      <c r="F49" s="13" t="n"/>
    </row>
    <row r="50">
      <c r="B50" s="11" t="inlineStr">
        <is>
          <t>Reviewer Title</t>
        </is>
      </c>
      <c r="C50" s="13" t="n"/>
      <c r="E50" s="11" t="inlineStr">
        <is>
          <t>Reviewer Date Signed</t>
        </is>
      </c>
      <c r="F50" s="12" t="n"/>
    </row>
    <row r="51">
      <c r="B51" s="11" t="inlineStr">
        <is>
          <t>Reviewer Signature</t>
        </is>
      </c>
      <c r="C51" s="13" t="n"/>
    </row>
    <row r="53">
      <c r="B53" s="7" t="inlineStr">
        <is>
          <t>AUTHORISATION — APPROVED BY</t>
        </is>
      </c>
      <c r="C53" s="8" t="n"/>
      <c r="D53" s="8" t="n"/>
      <c r="E53" s="8" t="n"/>
      <c r="F53" s="8" t="n"/>
    </row>
    <row r="54">
      <c r="B54" s="11" t="inlineStr">
        <is>
          <t>Approver Name</t>
        </is>
      </c>
      <c r="C54" s="13" t="n"/>
      <c r="E54" s="11" t="inlineStr">
        <is>
          <t>Approver Surname</t>
        </is>
      </c>
      <c r="F54" s="13" t="n"/>
    </row>
    <row r="55">
      <c r="B55" s="11" t="inlineStr">
        <is>
          <t>Approver Title</t>
        </is>
      </c>
      <c r="C55" s="13" t="n"/>
      <c r="E55" s="11" t="inlineStr">
        <is>
          <t>Approver Date Signed</t>
        </is>
      </c>
      <c r="F55" s="12" t="n"/>
    </row>
    <row r="56">
      <c r="B56" s="11" t="inlineStr">
        <is>
          <t>Approver Signature</t>
        </is>
      </c>
      <c r="C56" s="13" t="n"/>
    </row>
    <row r="58">
      <c r="B58" s="7" t="inlineStr">
        <is>
          <t>TRACEABILITY &amp; UNCERTAINTY</t>
        </is>
      </c>
      <c r="C58" s="8" t="n"/>
      <c r="D58" s="8" t="n"/>
      <c r="E58" s="8" t="n"/>
      <c r="F58" s="8" t="n"/>
    </row>
    <row r="59" ht="30" customHeight="1">
      <c r="B59" s="14" t="inlineStr">
        <is>
          <t>Traceability: The measurements reported herein are traceable to national/international standards through an unbroken chain of calibrations. Reference standards used are documented in the Reference_Standards sheet.</t>
        </is>
      </c>
    </row>
    <row r="60" ht="30" customHeight="1">
      <c r="B60" s="14" t="inlineStr">
        <is>
          <t>Uncertainty: The reported expanded uncertainty is based on a standard uncertainty multiplied by a coverage factor k=2, providing a level of confidence of approximately 95%. The uncertainty evaluation is in accordance with the Guide to the Expression of Uncertainty in Measurement (GUM).</t>
        </is>
      </c>
    </row>
    <row r="62">
      <c r="B62" s="7" t="inlineStr">
        <is>
          <t>RESULTS SUMMARY (AUTO-CALCULATED)</t>
        </is>
      </c>
      <c r="C62" s="8" t="n"/>
      <c r="D62" s="8" t="n"/>
      <c r="E62" s="8" t="n"/>
      <c r="F62" s="8" t="n"/>
    </row>
    <row r="63">
      <c r="B63" s="11" t="inlineStr">
        <is>
          <t>Pre-Calibration Result</t>
        </is>
      </c>
      <c r="C63" s="13">
        <f>IF(Calibration_Data!H3="","N/A",Calibration_Data!H3)</f>
        <v/>
      </c>
    </row>
    <row r="64">
      <c r="B64" s="11" t="inlineStr">
        <is>
          <t>Post-Calibration Result</t>
        </is>
      </c>
      <c r="C64" s="13">
        <f>IF(Calibration_Data!H21="","N/A",Calibration_Data!H21)</f>
        <v/>
      </c>
    </row>
    <row r="65">
      <c r="B65" s="11" t="inlineStr">
        <is>
          <t>Inclinometer Result</t>
        </is>
      </c>
      <c r="C65" s="13">
        <f>IF(Calibration_Data!H39="","N/A",Calibration_Data!H39)</f>
        <v/>
      </c>
    </row>
    <row r="66">
      <c r="B66" s="11" t="inlineStr">
        <is>
          <t>Gyroscope Result</t>
        </is>
      </c>
      <c r="C66" s="13">
        <f>IF(Calibration_Data!H57="","N/A",Calibration_Data!H57)</f>
        <v/>
      </c>
    </row>
    <row r="67">
      <c r="B67" s="11" t="inlineStr">
        <is>
          <t>OVERALL RESULT</t>
        </is>
      </c>
      <c r="C67" s="15">
        <f>IF(COUNTIF(C63:C66,"FAIL")&gt;0,"FAIL",IF(COUNTIF(C63:C66,"PASS")&gt;0,"PASS","N/A"))</f>
        <v/>
      </c>
    </row>
  </sheetData>
  <mergeCells count="15">
    <mergeCell ref="B30:F30"/>
    <mergeCell ref="B53:F53"/>
    <mergeCell ref="B43:F43"/>
    <mergeCell ref="B12:F12"/>
    <mergeCell ref="B2:F2"/>
    <mergeCell ref="B20:F20"/>
    <mergeCell ref="B48:F48"/>
    <mergeCell ref="B62:F62"/>
    <mergeCell ref="B25:F25"/>
    <mergeCell ref="B3:F3"/>
    <mergeCell ref="B5:F5"/>
    <mergeCell ref="B59:F59"/>
    <mergeCell ref="B60:F60"/>
    <mergeCell ref="B58:F58"/>
    <mergeCell ref="B35:F35"/>
  </mergeCells>
  <conditionalFormatting sqref="C63:C67">
    <cfRule type="cellIs" priority="1" operator="equal" dxfId="0">
      <formula>"PASS"</formula>
    </cfRule>
    <cfRule type="cellIs" priority="2" operator="equal" dxfId="1">
      <formula>"FAIL"</formula>
    </cfRule>
  </conditionalFormatting>
  <dataValidations count="4">
    <dataValidation sqref="C10" showDropDown="0" showInputMessage="0" showErrorMessage="0" allowBlank="1" errorTitle="Invalid Procedure" error="Select a valid procedure from the list" type="list">
      <formula1>Config!$C$2:$C$8</formula1>
    </dataValidation>
    <dataValidation sqref="C13" showDropDown="0" showInputMessage="0" showErrorMessage="0" allowBlank="1" error="Select a valid equipment type" type="list">
      <formula1>Config!$A$2:$A$10</formula1>
    </dataValidation>
    <dataValidation sqref="C26" showDropDown="0" showInputMessage="0" showErrorMessage="0" allowBlank="0" errorTitle="Temperature Out of Range" error="Temperature must be between 10°C and 40°C" type="decimal" operator="between">
      <formula1>10</formula1>
      <formula2>40</formula2>
    </dataValidation>
    <dataValidation sqref="C27" showDropDown="0" showInputMessage="0" showErrorMessage="0" allowBlank="0" error="Humidity must be between 10% and 90%" type="decimal" operator="between">
      <formula1>10</formula1>
      <formula2>90</formula2>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1:H71"/>
  <sheetViews>
    <sheetView workbookViewId="0">
      <selection activeCell="A1" sqref="A1"/>
    </sheetView>
  </sheetViews>
  <sheetFormatPr baseColWidth="8" defaultRowHeight="15"/>
  <cols>
    <col width="4" customWidth="1" min="1" max="1"/>
    <col width="6" customWidth="1" min="2" max="2"/>
    <col width="16" customWidth="1" min="3" max="3"/>
    <col width="16" customWidth="1" min="4" max="4"/>
    <col width="16" customWidth="1" min="5" max="5"/>
    <col width="16" customWidth="1" min="6" max="6"/>
    <col width="16" customWidth="1" min="7" max="7"/>
    <col width="18" customWidth="1" min="8" max="8"/>
  </cols>
  <sheetData>
    <row r="1">
      <c r="B1" s="7" t="inlineStr">
        <is>
          <t>TABLE 1: BEFORE CALIBRATION — DETECTOR RESPONSE</t>
        </is>
      </c>
      <c r="C1" s="8" t="n"/>
      <c r="D1" s="8" t="n"/>
      <c r="E1" s="8" t="n"/>
      <c r="F1" s="8" t="n"/>
      <c r="G1" s="8" t="n"/>
      <c r="H1" s="8" t="n"/>
    </row>
    <row r="2">
      <c r="B2" s="16" t="inlineStr">
        <is>
          <t>#</t>
        </is>
      </c>
      <c r="C2" s="16" t="inlineStr">
        <is>
          <t>Set Point</t>
        </is>
      </c>
      <c r="D2" s="16" t="inlineStr">
        <is>
          <t>Actual Reading</t>
        </is>
      </c>
      <c r="E2" s="16" t="inlineStr">
        <is>
          <t>Deviation</t>
        </is>
      </c>
      <c r="F2" s="16" t="inlineStr">
        <is>
          <t>Tolerance (+/-)</t>
        </is>
      </c>
      <c r="G2" s="16" t="inlineStr">
        <is>
          <t>Conformance</t>
        </is>
      </c>
      <c r="H2" s="16" t="inlineStr">
        <is>
          <t>Section Result</t>
        </is>
      </c>
    </row>
    <row r="3">
      <c r="B3" s="17" t="n">
        <v>1</v>
      </c>
      <c r="C3" s="18" t="n"/>
      <c r="D3" s="18" t="n"/>
      <c r="E3" s="19">
        <f>IF(AND(C3&lt;&gt;"",D3&lt;&gt;""),D3-C3,"")</f>
        <v/>
      </c>
      <c r="F3" s="19">
        <f>IF(C3&lt;&gt;"",Certificate_Input!C21,"")</f>
        <v/>
      </c>
      <c r="G3" s="20">
        <f>IF(E3="","",IF(ABS(E3)&lt;=F3,"PASS","FAIL"))</f>
        <v/>
      </c>
      <c r="H3" s="21">
        <f>IF(COUNTBLANK(G3:G17)=15,"",IF(COUNTIF(G3:G17,"FAIL")&gt;0,"FAIL","PASS"))</f>
        <v/>
      </c>
    </row>
    <row r="4">
      <c r="B4" s="17" t="n">
        <v>2</v>
      </c>
      <c r="C4" s="18" t="n"/>
      <c r="D4" s="18" t="n"/>
      <c r="E4" s="19">
        <f>IF(AND(C4&lt;&gt;"",D4&lt;&gt;""),D4-C4,"")</f>
        <v/>
      </c>
      <c r="F4" s="19">
        <f>IF(C4&lt;&gt;"",Certificate_Input!C21,"")</f>
        <v/>
      </c>
      <c r="G4" s="20">
        <f>IF(E4="","",IF(ABS(E4)&lt;=F4,"PASS","FAIL"))</f>
        <v/>
      </c>
      <c r="H4" s="22" t="n"/>
    </row>
    <row r="5">
      <c r="B5" s="17" t="n">
        <v>3</v>
      </c>
      <c r="C5" s="18" t="n"/>
      <c r="D5" s="18" t="n"/>
      <c r="E5" s="19">
        <f>IF(AND(C5&lt;&gt;"",D5&lt;&gt;""),D5-C5,"")</f>
        <v/>
      </c>
      <c r="F5" s="19">
        <f>IF(C5&lt;&gt;"",Certificate_Input!C21,"")</f>
        <v/>
      </c>
      <c r="G5" s="20">
        <f>IF(E5="","",IF(ABS(E5)&lt;=F5,"PASS","FAIL"))</f>
        <v/>
      </c>
      <c r="H5" s="22" t="n"/>
    </row>
    <row r="6">
      <c r="B6" s="17" t="n">
        <v>4</v>
      </c>
      <c r="C6" s="18" t="n"/>
      <c r="D6" s="18" t="n"/>
      <c r="E6" s="19">
        <f>IF(AND(C6&lt;&gt;"",D6&lt;&gt;""),D6-C6,"")</f>
        <v/>
      </c>
      <c r="F6" s="19">
        <f>IF(C6&lt;&gt;"",Certificate_Input!C21,"")</f>
        <v/>
      </c>
      <c r="G6" s="20">
        <f>IF(E6="","",IF(ABS(E6)&lt;=F6,"PASS","FAIL"))</f>
        <v/>
      </c>
      <c r="H6" s="22" t="n"/>
    </row>
    <row r="7">
      <c r="B7" s="17" t="n">
        <v>5</v>
      </c>
      <c r="C7" s="18" t="n"/>
      <c r="D7" s="18" t="n"/>
      <c r="E7" s="19">
        <f>IF(AND(C7&lt;&gt;"",D7&lt;&gt;""),D7-C7,"")</f>
        <v/>
      </c>
      <c r="F7" s="19">
        <f>IF(C7&lt;&gt;"",Certificate_Input!C21,"")</f>
        <v/>
      </c>
      <c r="G7" s="20">
        <f>IF(E7="","",IF(ABS(E7)&lt;=F7,"PASS","FAIL"))</f>
        <v/>
      </c>
      <c r="H7" s="22" t="n"/>
    </row>
    <row r="8">
      <c r="B8" s="17" t="n">
        <v>6</v>
      </c>
      <c r="C8" s="18" t="n"/>
      <c r="D8" s="18" t="n"/>
      <c r="E8" s="19">
        <f>IF(AND(C8&lt;&gt;"",D8&lt;&gt;""),D8-C8,"")</f>
        <v/>
      </c>
      <c r="F8" s="19">
        <f>IF(C8&lt;&gt;"",Certificate_Input!C21,"")</f>
        <v/>
      </c>
      <c r="G8" s="20">
        <f>IF(E8="","",IF(ABS(E8)&lt;=F8,"PASS","FAIL"))</f>
        <v/>
      </c>
      <c r="H8" s="22" t="n"/>
    </row>
    <row r="9">
      <c r="B9" s="17" t="n">
        <v>7</v>
      </c>
      <c r="C9" s="18" t="n"/>
      <c r="D9" s="18" t="n"/>
      <c r="E9" s="19">
        <f>IF(AND(C9&lt;&gt;"",D9&lt;&gt;""),D9-C9,"")</f>
        <v/>
      </c>
      <c r="F9" s="19">
        <f>IF(C9&lt;&gt;"",Certificate_Input!C21,"")</f>
        <v/>
      </c>
      <c r="G9" s="20">
        <f>IF(E9="","",IF(ABS(E9)&lt;=F9,"PASS","FAIL"))</f>
        <v/>
      </c>
      <c r="H9" s="22" t="n"/>
    </row>
    <row r="10">
      <c r="B10" s="17" t="n">
        <v>8</v>
      </c>
      <c r="C10" s="18" t="n"/>
      <c r="D10" s="18" t="n"/>
      <c r="E10" s="19">
        <f>IF(AND(C10&lt;&gt;"",D10&lt;&gt;""),D10-C10,"")</f>
        <v/>
      </c>
      <c r="F10" s="19">
        <f>IF(C10&lt;&gt;"",Certificate_Input!C21,"")</f>
        <v/>
      </c>
      <c r="G10" s="20">
        <f>IF(E10="","",IF(ABS(E10)&lt;=F10,"PASS","FAIL"))</f>
        <v/>
      </c>
      <c r="H10" s="22" t="n"/>
    </row>
    <row r="11">
      <c r="B11" s="17" t="n">
        <v>9</v>
      </c>
      <c r="C11" s="18" t="n"/>
      <c r="D11" s="18" t="n"/>
      <c r="E11" s="19">
        <f>IF(AND(C11&lt;&gt;"",D11&lt;&gt;""),D11-C11,"")</f>
        <v/>
      </c>
      <c r="F11" s="19">
        <f>IF(C11&lt;&gt;"",Certificate_Input!C21,"")</f>
        <v/>
      </c>
      <c r="G11" s="20">
        <f>IF(E11="","",IF(ABS(E11)&lt;=F11,"PASS","FAIL"))</f>
        <v/>
      </c>
      <c r="H11" s="22" t="n"/>
    </row>
    <row r="12">
      <c r="B12" s="17" t="n">
        <v>10</v>
      </c>
      <c r="C12" s="18" t="n"/>
      <c r="D12" s="18" t="n"/>
      <c r="E12" s="19">
        <f>IF(AND(C12&lt;&gt;"",D12&lt;&gt;""),D12-C12,"")</f>
        <v/>
      </c>
      <c r="F12" s="19">
        <f>IF(C12&lt;&gt;"",Certificate_Input!C21,"")</f>
        <v/>
      </c>
      <c r="G12" s="20">
        <f>IF(E12="","",IF(ABS(E12)&lt;=F12,"PASS","FAIL"))</f>
        <v/>
      </c>
      <c r="H12" s="22" t="n"/>
    </row>
    <row r="13">
      <c r="B13" s="17" t="n">
        <v>11</v>
      </c>
      <c r="C13" s="18" t="n"/>
      <c r="D13" s="18" t="n"/>
      <c r="E13" s="19">
        <f>IF(AND(C13&lt;&gt;"",D13&lt;&gt;""),D13-C13,"")</f>
        <v/>
      </c>
      <c r="F13" s="19">
        <f>IF(C13&lt;&gt;"",Certificate_Input!C21,"")</f>
        <v/>
      </c>
      <c r="G13" s="20">
        <f>IF(E13="","",IF(ABS(E13)&lt;=F13,"PASS","FAIL"))</f>
        <v/>
      </c>
      <c r="H13" s="22" t="n"/>
    </row>
    <row r="14">
      <c r="B14" s="17" t="n">
        <v>12</v>
      </c>
      <c r="C14" s="18" t="n"/>
      <c r="D14" s="18" t="n"/>
      <c r="E14" s="19">
        <f>IF(AND(C14&lt;&gt;"",D14&lt;&gt;""),D14-C14,"")</f>
        <v/>
      </c>
      <c r="F14" s="19">
        <f>IF(C14&lt;&gt;"",Certificate_Input!C21,"")</f>
        <v/>
      </c>
      <c r="G14" s="20">
        <f>IF(E14="","",IF(ABS(E14)&lt;=F14,"PASS","FAIL"))</f>
        <v/>
      </c>
      <c r="H14" s="22" t="n"/>
    </row>
    <row r="15">
      <c r="B15" s="17" t="n">
        <v>13</v>
      </c>
      <c r="C15" s="18" t="n"/>
      <c r="D15" s="18" t="n"/>
      <c r="E15" s="19">
        <f>IF(AND(C15&lt;&gt;"",D15&lt;&gt;""),D15-C15,"")</f>
        <v/>
      </c>
      <c r="F15" s="19">
        <f>IF(C15&lt;&gt;"",Certificate_Input!C21,"")</f>
        <v/>
      </c>
      <c r="G15" s="20">
        <f>IF(E15="","",IF(ABS(E15)&lt;=F15,"PASS","FAIL"))</f>
        <v/>
      </c>
      <c r="H15" s="22" t="n"/>
    </row>
    <row r="16">
      <c r="B16" s="17" t="n">
        <v>14</v>
      </c>
      <c r="C16" s="18" t="n"/>
      <c r="D16" s="18" t="n"/>
      <c r="E16" s="19">
        <f>IF(AND(C16&lt;&gt;"",D16&lt;&gt;""),D16-C16,"")</f>
        <v/>
      </c>
      <c r="F16" s="19">
        <f>IF(C16&lt;&gt;"",Certificate_Input!C21,"")</f>
        <v/>
      </c>
      <c r="G16" s="20">
        <f>IF(E16="","",IF(ABS(E16)&lt;=F16,"PASS","FAIL"))</f>
        <v/>
      </c>
      <c r="H16" s="22" t="n"/>
    </row>
    <row r="17">
      <c r="B17" s="17" t="n">
        <v>15</v>
      </c>
      <c r="C17" s="18" t="n"/>
      <c r="D17" s="18" t="n"/>
      <c r="E17" s="19">
        <f>IF(AND(C17&lt;&gt;"",D17&lt;&gt;""),D17-C17,"")</f>
        <v/>
      </c>
      <c r="F17" s="19">
        <f>IF(C17&lt;&gt;"",Certificate_Input!C21,"")</f>
        <v/>
      </c>
      <c r="G17" s="20">
        <f>IF(E17="","",IF(ABS(E17)&lt;=F17,"PASS","FAIL"))</f>
        <v/>
      </c>
      <c r="H17" s="23" t="n"/>
    </row>
    <row r="19">
      <c r="B19" s="7" t="inlineStr">
        <is>
          <t>TABLE 2: AFTER CALIBRATION — DETECTOR RESPONSE</t>
        </is>
      </c>
      <c r="C19" s="8" t="n"/>
      <c r="D19" s="8" t="n"/>
      <c r="E19" s="8" t="n"/>
      <c r="F19" s="8" t="n"/>
      <c r="G19" s="8" t="n"/>
      <c r="H19" s="8" t="n"/>
    </row>
    <row r="20">
      <c r="B20" s="16" t="inlineStr">
        <is>
          <t>#</t>
        </is>
      </c>
      <c r="C20" s="16" t="inlineStr">
        <is>
          <t>Set Point</t>
        </is>
      </c>
      <c r="D20" s="16" t="inlineStr">
        <is>
          <t>Actual Reading</t>
        </is>
      </c>
      <c r="E20" s="16" t="inlineStr">
        <is>
          <t>Deviation</t>
        </is>
      </c>
      <c r="F20" s="16" t="inlineStr">
        <is>
          <t>Tolerance (+/-)</t>
        </is>
      </c>
      <c r="G20" s="16" t="inlineStr">
        <is>
          <t>Conformance</t>
        </is>
      </c>
      <c r="H20" s="16" t="inlineStr">
        <is>
          <t>Section Result</t>
        </is>
      </c>
    </row>
    <row r="21">
      <c r="B21" s="17" t="n">
        <v>1</v>
      </c>
      <c r="C21" s="18" t="n"/>
      <c r="D21" s="18" t="n"/>
      <c r="E21" s="19">
        <f>IF(AND(C21&lt;&gt;"",D21&lt;&gt;""),D21-C21,"")</f>
        <v/>
      </c>
      <c r="F21" s="19">
        <f>IF(C21&lt;&gt;"",Certificate_Input!C21,"")</f>
        <v/>
      </c>
      <c r="G21" s="20">
        <f>IF(E21="","",IF(ABS(E21)&lt;=F21,"PASS","FAIL"))</f>
        <v/>
      </c>
      <c r="H21" s="21">
        <f>IF(COUNTBLANK(G21:G35)=15,"",IF(COUNTIF(G21:G35,"FAIL")&gt;0,"FAIL","PASS"))</f>
        <v/>
      </c>
    </row>
    <row r="22">
      <c r="B22" s="17" t="n">
        <v>2</v>
      </c>
      <c r="C22" s="18" t="n"/>
      <c r="D22" s="18" t="n"/>
      <c r="E22" s="19">
        <f>IF(AND(C22&lt;&gt;"",D22&lt;&gt;""),D22-C22,"")</f>
        <v/>
      </c>
      <c r="F22" s="19">
        <f>IF(C22&lt;&gt;"",Certificate_Input!C21,"")</f>
        <v/>
      </c>
      <c r="G22" s="20">
        <f>IF(E22="","",IF(ABS(E22)&lt;=F22,"PASS","FAIL"))</f>
        <v/>
      </c>
      <c r="H22" s="22" t="n"/>
    </row>
    <row r="23">
      <c r="B23" s="17" t="n">
        <v>3</v>
      </c>
      <c r="C23" s="18" t="n"/>
      <c r="D23" s="18" t="n"/>
      <c r="E23" s="19">
        <f>IF(AND(C23&lt;&gt;"",D23&lt;&gt;""),D23-C23,"")</f>
        <v/>
      </c>
      <c r="F23" s="19">
        <f>IF(C23&lt;&gt;"",Certificate_Input!C21,"")</f>
        <v/>
      </c>
      <c r="G23" s="20">
        <f>IF(E23="","",IF(ABS(E23)&lt;=F23,"PASS","FAIL"))</f>
        <v/>
      </c>
      <c r="H23" s="22" t="n"/>
    </row>
    <row r="24">
      <c r="B24" s="17" t="n">
        <v>4</v>
      </c>
      <c r="C24" s="18" t="n"/>
      <c r="D24" s="18" t="n"/>
      <c r="E24" s="19">
        <f>IF(AND(C24&lt;&gt;"",D24&lt;&gt;""),D24-C24,"")</f>
        <v/>
      </c>
      <c r="F24" s="19">
        <f>IF(C24&lt;&gt;"",Certificate_Input!C21,"")</f>
        <v/>
      </c>
      <c r="G24" s="20">
        <f>IF(E24="","",IF(ABS(E24)&lt;=F24,"PASS","FAIL"))</f>
        <v/>
      </c>
      <c r="H24" s="22" t="n"/>
    </row>
    <row r="25">
      <c r="B25" s="17" t="n">
        <v>5</v>
      </c>
      <c r="C25" s="18" t="n"/>
      <c r="D25" s="18" t="n"/>
      <c r="E25" s="19">
        <f>IF(AND(C25&lt;&gt;"",D25&lt;&gt;""),D25-C25,"")</f>
        <v/>
      </c>
      <c r="F25" s="19">
        <f>IF(C25&lt;&gt;"",Certificate_Input!C21,"")</f>
        <v/>
      </c>
      <c r="G25" s="20">
        <f>IF(E25="","",IF(ABS(E25)&lt;=F25,"PASS","FAIL"))</f>
        <v/>
      </c>
      <c r="H25" s="22" t="n"/>
    </row>
    <row r="26">
      <c r="B26" s="17" t="n">
        <v>6</v>
      </c>
      <c r="C26" s="18" t="n"/>
      <c r="D26" s="18" t="n"/>
      <c r="E26" s="19">
        <f>IF(AND(C26&lt;&gt;"",D26&lt;&gt;""),D26-C26,"")</f>
        <v/>
      </c>
      <c r="F26" s="19">
        <f>IF(C26&lt;&gt;"",Certificate_Input!C21,"")</f>
        <v/>
      </c>
      <c r="G26" s="20">
        <f>IF(E26="","",IF(ABS(E26)&lt;=F26,"PASS","FAIL"))</f>
        <v/>
      </c>
      <c r="H26" s="22" t="n"/>
    </row>
    <row r="27">
      <c r="B27" s="17" t="n">
        <v>7</v>
      </c>
      <c r="C27" s="18" t="n"/>
      <c r="D27" s="18" t="n"/>
      <c r="E27" s="19">
        <f>IF(AND(C27&lt;&gt;"",D27&lt;&gt;""),D27-C27,"")</f>
        <v/>
      </c>
      <c r="F27" s="19">
        <f>IF(C27&lt;&gt;"",Certificate_Input!C21,"")</f>
        <v/>
      </c>
      <c r="G27" s="20">
        <f>IF(E27="","",IF(ABS(E27)&lt;=F27,"PASS","FAIL"))</f>
        <v/>
      </c>
      <c r="H27" s="22" t="n"/>
    </row>
    <row r="28">
      <c r="B28" s="17" t="n">
        <v>8</v>
      </c>
      <c r="C28" s="18" t="n"/>
      <c r="D28" s="18" t="n"/>
      <c r="E28" s="19">
        <f>IF(AND(C28&lt;&gt;"",D28&lt;&gt;""),D28-C28,"")</f>
        <v/>
      </c>
      <c r="F28" s="19">
        <f>IF(C28&lt;&gt;"",Certificate_Input!C21,"")</f>
        <v/>
      </c>
      <c r="G28" s="20">
        <f>IF(E28="","",IF(ABS(E28)&lt;=F28,"PASS","FAIL"))</f>
        <v/>
      </c>
      <c r="H28" s="22" t="n"/>
    </row>
    <row r="29">
      <c r="B29" s="17" t="n">
        <v>9</v>
      </c>
      <c r="C29" s="18" t="n"/>
      <c r="D29" s="18" t="n"/>
      <c r="E29" s="19">
        <f>IF(AND(C29&lt;&gt;"",D29&lt;&gt;""),D29-C29,"")</f>
        <v/>
      </c>
      <c r="F29" s="19">
        <f>IF(C29&lt;&gt;"",Certificate_Input!C21,"")</f>
        <v/>
      </c>
      <c r="G29" s="20">
        <f>IF(E29="","",IF(ABS(E29)&lt;=F29,"PASS","FAIL"))</f>
        <v/>
      </c>
      <c r="H29" s="22" t="n"/>
    </row>
    <row r="30">
      <c r="B30" s="17" t="n">
        <v>10</v>
      </c>
      <c r="C30" s="18" t="n"/>
      <c r="D30" s="18" t="n"/>
      <c r="E30" s="19">
        <f>IF(AND(C30&lt;&gt;"",D30&lt;&gt;""),D30-C30,"")</f>
        <v/>
      </c>
      <c r="F30" s="19">
        <f>IF(C30&lt;&gt;"",Certificate_Input!C21,"")</f>
        <v/>
      </c>
      <c r="G30" s="20">
        <f>IF(E30="","",IF(ABS(E30)&lt;=F30,"PASS","FAIL"))</f>
        <v/>
      </c>
      <c r="H30" s="22" t="n"/>
    </row>
    <row r="31">
      <c r="B31" s="17" t="n">
        <v>11</v>
      </c>
      <c r="C31" s="18" t="n"/>
      <c r="D31" s="18" t="n"/>
      <c r="E31" s="19">
        <f>IF(AND(C31&lt;&gt;"",D31&lt;&gt;""),D31-C31,"")</f>
        <v/>
      </c>
      <c r="F31" s="19">
        <f>IF(C31&lt;&gt;"",Certificate_Input!C21,"")</f>
        <v/>
      </c>
      <c r="G31" s="20">
        <f>IF(E31="","",IF(ABS(E31)&lt;=F31,"PASS","FAIL"))</f>
        <v/>
      </c>
      <c r="H31" s="22" t="n"/>
    </row>
    <row r="32">
      <c r="B32" s="17" t="n">
        <v>12</v>
      </c>
      <c r="C32" s="18" t="n"/>
      <c r="D32" s="18" t="n"/>
      <c r="E32" s="19">
        <f>IF(AND(C32&lt;&gt;"",D32&lt;&gt;""),D32-C32,"")</f>
        <v/>
      </c>
      <c r="F32" s="19">
        <f>IF(C32&lt;&gt;"",Certificate_Input!C21,"")</f>
        <v/>
      </c>
      <c r="G32" s="20">
        <f>IF(E32="","",IF(ABS(E32)&lt;=F32,"PASS","FAIL"))</f>
        <v/>
      </c>
      <c r="H32" s="22" t="n"/>
    </row>
    <row r="33">
      <c r="B33" s="17" t="n">
        <v>13</v>
      </c>
      <c r="C33" s="18" t="n"/>
      <c r="D33" s="18" t="n"/>
      <c r="E33" s="19">
        <f>IF(AND(C33&lt;&gt;"",D33&lt;&gt;""),D33-C33,"")</f>
        <v/>
      </c>
      <c r="F33" s="19">
        <f>IF(C33&lt;&gt;"",Certificate_Input!C21,"")</f>
        <v/>
      </c>
      <c r="G33" s="20">
        <f>IF(E33="","",IF(ABS(E33)&lt;=F33,"PASS","FAIL"))</f>
        <v/>
      </c>
      <c r="H33" s="22" t="n"/>
    </row>
    <row r="34">
      <c r="B34" s="17" t="n">
        <v>14</v>
      </c>
      <c r="C34" s="18" t="n"/>
      <c r="D34" s="18" t="n"/>
      <c r="E34" s="19">
        <f>IF(AND(C34&lt;&gt;"",D34&lt;&gt;""),D34-C34,"")</f>
        <v/>
      </c>
      <c r="F34" s="19">
        <f>IF(C34&lt;&gt;"",Certificate_Input!C21,"")</f>
        <v/>
      </c>
      <c r="G34" s="20">
        <f>IF(E34="","",IF(ABS(E34)&lt;=F34,"PASS","FAIL"))</f>
        <v/>
      </c>
      <c r="H34" s="22" t="n"/>
    </row>
    <row r="35">
      <c r="B35" s="17" t="n">
        <v>15</v>
      </c>
      <c r="C35" s="18" t="n"/>
      <c r="D35" s="18" t="n"/>
      <c r="E35" s="19">
        <f>IF(AND(C35&lt;&gt;"",D35&lt;&gt;""),D35-C35,"")</f>
        <v/>
      </c>
      <c r="F35" s="19">
        <f>IF(C35&lt;&gt;"",Certificate_Input!C21,"")</f>
        <v/>
      </c>
      <c r="G35" s="20">
        <f>IF(E35="","",IF(ABS(E35)&lt;=F35,"PASS","FAIL"))</f>
        <v/>
      </c>
      <c r="H35" s="23" t="n"/>
    </row>
    <row r="37">
      <c r="B37" s="7" t="inlineStr">
        <is>
          <t>TABLE 3: INCLINOMETER CHECK</t>
        </is>
      </c>
      <c r="C37" s="8" t="n"/>
      <c r="D37" s="8" t="n"/>
      <c r="E37" s="8" t="n"/>
      <c r="F37" s="8" t="n"/>
      <c r="G37" s="8" t="n"/>
      <c r="H37" s="8" t="n"/>
    </row>
    <row r="38">
      <c r="B38" s="16" t="inlineStr">
        <is>
          <t>#</t>
        </is>
      </c>
      <c r="C38" s="16" t="inlineStr">
        <is>
          <t>Set Point</t>
        </is>
      </c>
      <c r="D38" s="16" t="inlineStr">
        <is>
          <t>Actual Reading</t>
        </is>
      </c>
      <c r="E38" s="16" t="inlineStr">
        <is>
          <t>Deviation</t>
        </is>
      </c>
      <c r="F38" s="16" t="inlineStr">
        <is>
          <t>Tolerance (+/-)</t>
        </is>
      </c>
      <c r="G38" s="16" t="inlineStr">
        <is>
          <t>Conformance</t>
        </is>
      </c>
      <c r="H38" s="16" t="inlineStr">
        <is>
          <t>Section Result</t>
        </is>
      </c>
    </row>
    <row r="39">
      <c r="B39" s="17" t="n">
        <v>1</v>
      </c>
      <c r="C39" s="18" t="n"/>
      <c r="D39" s="18" t="n"/>
      <c r="E39" s="19">
        <f>IF(AND(C39&lt;&gt;"",D39&lt;&gt;""),D39-C39,"")</f>
        <v/>
      </c>
      <c r="F39" s="19">
        <f>IF(C39&lt;&gt;"",Certificate_Input!C22,"")</f>
        <v/>
      </c>
      <c r="G39" s="20">
        <f>IF(E39="","",IF(ABS(E39)&lt;=F39,"PASS","FAIL"))</f>
        <v/>
      </c>
      <c r="H39" s="21">
        <f>IF(COUNTBLANK(G39:G53)=15,"",IF(COUNTIF(G39:G53,"FAIL")&gt;0,"FAIL","PASS"))</f>
        <v/>
      </c>
    </row>
    <row r="40">
      <c r="B40" s="17" t="n">
        <v>2</v>
      </c>
      <c r="C40" s="18" t="n"/>
      <c r="D40" s="18" t="n"/>
      <c r="E40" s="19">
        <f>IF(AND(C40&lt;&gt;"",D40&lt;&gt;""),D40-C40,"")</f>
        <v/>
      </c>
      <c r="F40" s="19">
        <f>IF(C40&lt;&gt;"",Certificate_Input!C22,"")</f>
        <v/>
      </c>
      <c r="G40" s="20">
        <f>IF(E40="","",IF(ABS(E40)&lt;=F40,"PASS","FAIL"))</f>
        <v/>
      </c>
      <c r="H40" s="22" t="n"/>
    </row>
    <row r="41">
      <c r="B41" s="17" t="n">
        <v>3</v>
      </c>
      <c r="C41" s="18" t="n"/>
      <c r="D41" s="18" t="n"/>
      <c r="E41" s="19">
        <f>IF(AND(C41&lt;&gt;"",D41&lt;&gt;""),D41-C41,"")</f>
        <v/>
      </c>
      <c r="F41" s="19">
        <f>IF(C41&lt;&gt;"",Certificate_Input!C22,"")</f>
        <v/>
      </c>
      <c r="G41" s="20">
        <f>IF(E41="","",IF(ABS(E41)&lt;=F41,"PASS","FAIL"))</f>
        <v/>
      </c>
      <c r="H41" s="22" t="n"/>
    </row>
    <row r="42">
      <c r="B42" s="17" t="n">
        <v>4</v>
      </c>
      <c r="C42" s="18" t="n"/>
      <c r="D42" s="18" t="n"/>
      <c r="E42" s="19">
        <f>IF(AND(C42&lt;&gt;"",D42&lt;&gt;""),D42-C42,"")</f>
        <v/>
      </c>
      <c r="F42" s="19">
        <f>IF(C42&lt;&gt;"",Certificate_Input!C22,"")</f>
        <v/>
      </c>
      <c r="G42" s="20">
        <f>IF(E42="","",IF(ABS(E42)&lt;=F42,"PASS","FAIL"))</f>
        <v/>
      </c>
      <c r="H42" s="22" t="n"/>
    </row>
    <row r="43">
      <c r="B43" s="17" t="n">
        <v>5</v>
      </c>
      <c r="C43" s="18" t="n"/>
      <c r="D43" s="18" t="n"/>
      <c r="E43" s="19">
        <f>IF(AND(C43&lt;&gt;"",D43&lt;&gt;""),D43-C43,"")</f>
        <v/>
      </c>
      <c r="F43" s="19">
        <f>IF(C43&lt;&gt;"",Certificate_Input!C22,"")</f>
        <v/>
      </c>
      <c r="G43" s="20">
        <f>IF(E43="","",IF(ABS(E43)&lt;=F43,"PASS","FAIL"))</f>
        <v/>
      </c>
      <c r="H43" s="22" t="n"/>
    </row>
    <row r="44">
      <c r="B44" s="17" t="n">
        <v>6</v>
      </c>
      <c r="C44" s="18" t="n"/>
      <c r="D44" s="18" t="n"/>
      <c r="E44" s="19">
        <f>IF(AND(C44&lt;&gt;"",D44&lt;&gt;""),D44-C44,"")</f>
        <v/>
      </c>
      <c r="F44" s="19">
        <f>IF(C44&lt;&gt;"",Certificate_Input!C22,"")</f>
        <v/>
      </c>
      <c r="G44" s="20">
        <f>IF(E44="","",IF(ABS(E44)&lt;=F44,"PASS","FAIL"))</f>
        <v/>
      </c>
      <c r="H44" s="22" t="n"/>
    </row>
    <row r="45">
      <c r="B45" s="17" t="n">
        <v>7</v>
      </c>
      <c r="C45" s="18" t="n"/>
      <c r="D45" s="18" t="n"/>
      <c r="E45" s="19">
        <f>IF(AND(C45&lt;&gt;"",D45&lt;&gt;""),D45-C45,"")</f>
        <v/>
      </c>
      <c r="F45" s="19">
        <f>IF(C45&lt;&gt;"",Certificate_Input!C22,"")</f>
        <v/>
      </c>
      <c r="G45" s="20">
        <f>IF(E45="","",IF(ABS(E45)&lt;=F45,"PASS","FAIL"))</f>
        <v/>
      </c>
      <c r="H45" s="22" t="n"/>
    </row>
    <row r="46">
      <c r="B46" s="17" t="n">
        <v>8</v>
      </c>
      <c r="C46" s="18" t="n"/>
      <c r="D46" s="18" t="n"/>
      <c r="E46" s="19">
        <f>IF(AND(C46&lt;&gt;"",D46&lt;&gt;""),D46-C46,"")</f>
        <v/>
      </c>
      <c r="F46" s="19">
        <f>IF(C46&lt;&gt;"",Certificate_Input!C22,"")</f>
        <v/>
      </c>
      <c r="G46" s="20">
        <f>IF(E46="","",IF(ABS(E46)&lt;=F46,"PASS","FAIL"))</f>
        <v/>
      </c>
      <c r="H46" s="22" t="n"/>
    </row>
    <row r="47">
      <c r="B47" s="17" t="n">
        <v>9</v>
      </c>
      <c r="C47" s="18" t="n"/>
      <c r="D47" s="18" t="n"/>
      <c r="E47" s="19">
        <f>IF(AND(C47&lt;&gt;"",D47&lt;&gt;""),D47-C47,"")</f>
        <v/>
      </c>
      <c r="F47" s="19">
        <f>IF(C47&lt;&gt;"",Certificate_Input!C22,"")</f>
        <v/>
      </c>
      <c r="G47" s="20">
        <f>IF(E47="","",IF(ABS(E47)&lt;=F47,"PASS","FAIL"))</f>
        <v/>
      </c>
      <c r="H47" s="22" t="n"/>
    </row>
    <row r="48">
      <c r="B48" s="17" t="n">
        <v>10</v>
      </c>
      <c r="C48" s="18" t="n"/>
      <c r="D48" s="18" t="n"/>
      <c r="E48" s="19">
        <f>IF(AND(C48&lt;&gt;"",D48&lt;&gt;""),D48-C48,"")</f>
        <v/>
      </c>
      <c r="F48" s="19">
        <f>IF(C48&lt;&gt;"",Certificate_Input!C22,"")</f>
        <v/>
      </c>
      <c r="G48" s="20">
        <f>IF(E48="","",IF(ABS(E48)&lt;=F48,"PASS","FAIL"))</f>
        <v/>
      </c>
      <c r="H48" s="22" t="n"/>
    </row>
    <row r="49">
      <c r="B49" s="17" t="n">
        <v>11</v>
      </c>
      <c r="C49" s="18" t="n"/>
      <c r="D49" s="18" t="n"/>
      <c r="E49" s="19">
        <f>IF(AND(C49&lt;&gt;"",D49&lt;&gt;""),D49-C49,"")</f>
        <v/>
      </c>
      <c r="F49" s="19">
        <f>IF(C49&lt;&gt;"",Certificate_Input!C22,"")</f>
        <v/>
      </c>
      <c r="G49" s="20">
        <f>IF(E49="","",IF(ABS(E49)&lt;=F49,"PASS","FAIL"))</f>
        <v/>
      </c>
      <c r="H49" s="22" t="n"/>
    </row>
    <row r="50">
      <c r="B50" s="17" t="n">
        <v>12</v>
      </c>
      <c r="C50" s="18" t="n"/>
      <c r="D50" s="18" t="n"/>
      <c r="E50" s="19">
        <f>IF(AND(C50&lt;&gt;"",D50&lt;&gt;""),D50-C50,"")</f>
        <v/>
      </c>
      <c r="F50" s="19">
        <f>IF(C50&lt;&gt;"",Certificate_Input!C22,"")</f>
        <v/>
      </c>
      <c r="G50" s="20">
        <f>IF(E50="","",IF(ABS(E50)&lt;=F50,"PASS","FAIL"))</f>
        <v/>
      </c>
      <c r="H50" s="22" t="n"/>
    </row>
    <row r="51">
      <c r="B51" s="17" t="n">
        <v>13</v>
      </c>
      <c r="C51" s="18" t="n"/>
      <c r="D51" s="18" t="n"/>
      <c r="E51" s="19">
        <f>IF(AND(C51&lt;&gt;"",D51&lt;&gt;""),D51-C51,"")</f>
        <v/>
      </c>
      <c r="F51" s="19">
        <f>IF(C51&lt;&gt;"",Certificate_Input!C22,"")</f>
        <v/>
      </c>
      <c r="G51" s="20">
        <f>IF(E51="","",IF(ABS(E51)&lt;=F51,"PASS","FAIL"))</f>
        <v/>
      </c>
      <c r="H51" s="22" t="n"/>
    </row>
    <row r="52">
      <c r="B52" s="17" t="n">
        <v>14</v>
      </c>
      <c r="C52" s="18" t="n"/>
      <c r="D52" s="18" t="n"/>
      <c r="E52" s="19">
        <f>IF(AND(C52&lt;&gt;"",D52&lt;&gt;""),D52-C52,"")</f>
        <v/>
      </c>
      <c r="F52" s="19">
        <f>IF(C52&lt;&gt;"",Certificate_Input!C22,"")</f>
        <v/>
      </c>
      <c r="G52" s="20">
        <f>IF(E52="","",IF(ABS(E52)&lt;=F52,"PASS","FAIL"))</f>
        <v/>
      </c>
      <c r="H52" s="22" t="n"/>
    </row>
    <row r="53">
      <c r="B53" s="17" t="n">
        <v>15</v>
      </c>
      <c r="C53" s="18" t="n"/>
      <c r="D53" s="18" t="n"/>
      <c r="E53" s="19">
        <f>IF(AND(C53&lt;&gt;"",D53&lt;&gt;""),D53-C53,"")</f>
        <v/>
      </c>
      <c r="F53" s="19">
        <f>IF(C53&lt;&gt;"",Certificate_Input!C22,"")</f>
        <v/>
      </c>
      <c r="G53" s="20">
        <f>IF(E53="","",IF(ABS(E53)&lt;=F53,"PASS","FAIL"))</f>
        <v/>
      </c>
      <c r="H53" s="23" t="n"/>
    </row>
    <row r="55">
      <c r="B55" s="7" t="inlineStr">
        <is>
          <t>TABLE 4: GYROSCOPE CHECK</t>
        </is>
      </c>
      <c r="C55" s="8" t="n"/>
      <c r="D55" s="8" t="n"/>
      <c r="E55" s="8" t="n"/>
      <c r="F55" s="8" t="n"/>
      <c r="G55" s="8" t="n"/>
      <c r="H55" s="8" t="n"/>
    </row>
    <row r="56">
      <c r="B56" s="16" t="inlineStr">
        <is>
          <t>#</t>
        </is>
      </c>
      <c r="C56" s="16" t="inlineStr">
        <is>
          <t>Set Point</t>
        </is>
      </c>
      <c r="D56" s="16" t="inlineStr">
        <is>
          <t>Actual Reading</t>
        </is>
      </c>
      <c r="E56" s="16" t="inlineStr">
        <is>
          <t>Deviation</t>
        </is>
      </c>
      <c r="F56" s="16" t="inlineStr">
        <is>
          <t>Tolerance (+/-)</t>
        </is>
      </c>
      <c r="G56" s="16" t="inlineStr">
        <is>
          <t>Conformance</t>
        </is>
      </c>
      <c r="H56" s="16" t="inlineStr">
        <is>
          <t>Section Result</t>
        </is>
      </c>
    </row>
    <row r="57">
      <c r="B57" s="17" t="n">
        <v>1</v>
      </c>
      <c r="C57" s="18" t="n"/>
      <c r="D57" s="18" t="n"/>
      <c r="E57" s="19">
        <f>IF(AND(C57&lt;&gt;"",D57&lt;&gt;""),D57-C57,"")</f>
        <v/>
      </c>
      <c r="F57" s="19">
        <f>IF(C57&lt;&gt;"",Certificate_Input!C23,"")</f>
        <v/>
      </c>
      <c r="G57" s="20">
        <f>IF(E57="","",IF(ABS(E57)&lt;=F57,"PASS","FAIL"))</f>
        <v/>
      </c>
      <c r="H57" s="21">
        <f>IF(COUNTBLANK(G57:G71)=15,"",IF(COUNTIF(G57:G71,"FAIL")&gt;0,"FAIL","PASS"))</f>
        <v/>
      </c>
    </row>
    <row r="58">
      <c r="B58" s="17" t="n">
        <v>2</v>
      </c>
      <c r="C58" s="18" t="n"/>
      <c r="D58" s="18" t="n"/>
      <c r="E58" s="19">
        <f>IF(AND(C58&lt;&gt;"",D58&lt;&gt;""),D58-C58,"")</f>
        <v/>
      </c>
      <c r="F58" s="19">
        <f>IF(C58&lt;&gt;"",Certificate_Input!C23,"")</f>
        <v/>
      </c>
      <c r="G58" s="20">
        <f>IF(E58="","",IF(ABS(E58)&lt;=F58,"PASS","FAIL"))</f>
        <v/>
      </c>
      <c r="H58" s="22" t="n"/>
    </row>
    <row r="59">
      <c r="B59" s="17" t="n">
        <v>3</v>
      </c>
      <c r="C59" s="18" t="n"/>
      <c r="D59" s="18" t="n"/>
      <c r="E59" s="19">
        <f>IF(AND(C59&lt;&gt;"",D59&lt;&gt;""),D59-C59,"")</f>
        <v/>
      </c>
      <c r="F59" s="19">
        <f>IF(C59&lt;&gt;"",Certificate_Input!C23,"")</f>
        <v/>
      </c>
      <c r="G59" s="20">
        <f>IF(E59="","",IF(ABS(E59)&lt;=F59,"PASS","FAIL"))</f>
        <v/>
      </c>
      <c r="H59" s="22" t="n"/>
    </row>
    <row r="60">
      <c r="B60" s="17" t="n">
        <v>4</v>
      </c>
      <c r="C60" s="18" t="n"/>
      <c r="D60" s="18" t="n"/>
      <c r="E60" s="19">
        <f>IF(AND(C60&lt;&gt;"",D60&lt;&gt;""),D60-C60,"")</f>
        <v/>
      </c>
      <c r="F60" s="19">
        <f>IF(C60&lt;&gt;"",Certificate_Input!C23,"")</f>
        <v/>
      </c>
      <c r="G60" s="20">
        <f>IF(E60="","",IF(ABS(E60)&lt;=F60,"PASS","FAIL"))</f>
        <v/>
      </c>
      <c r="H60" s="22" t="n"/>
    </row>
    <row r="61">
      <c r="B61" s="17" t="n">
        <v>5</v>
      </c>
      <c r="C61" s="18" t="n"/>
      <c r="D61" s="18" t="n"/>
      <c r="E61" s="19">
        <f>IF(AND(C61&lt;&gt;"",D61&lt;&gt;""),D61-C61,"")</f>
        <v/>
      </c>
      <c r="F61" s="19">
        <f>IF(C61&lt;&gt;"",Certificate_Input!C23,"")</f>
        <v/>
      </c>
      <c r="G61" s="20">
        <f>IF(E61="","",IF(ABS(E61)&lt;=F61,"PASS","FAIL"))</f>
        <v/>
      </c>
      <c r="H61" s="22" t="n"/>
    </row>
    <row r="62">
      <c r="B62" s="17" t="n">
        <v>6</v>
      </c>
      <c r="C62" s="18" t="n"/>
      <c r="D62" s="18" t="n"/>
      <c r="E62" s="19">
        <f>IF(AND(C62&lt;&gt;"",D62&lt;&gt;""),D62-C62,"")</f>
        <v/>
      </c>
      <c r="F62" s="19">
        <f>IF(C62&lt;&gt;"",Certificate_Input!C23,"")</f>
        <v/>
      </c>
      <c r="G62" s="20">
        <f>IF(E62="","",IF(ABS(E62)&lt;=F62,"PASS","FAIL"))</f>
        <v/>
      </c>
      <c r="H62" s="22" t="n"/>
    </row>
    <row r="63">
      <c r="B63" s="17" t="n">
        <v>7</v>
      </c>
      <c r="C63" s="18" t="n"/>
      <c r="D63" s="18" t="n"/>
      <c r="E63" s="19">
        <f>IF(AND(C63&lt;&gt;"",D63&lt;&gt;""),D63-C63,"")</f>
        <v/>
      </c>
      <c r="F63" s="19">
        <f>IF(C63&lt;&gt;"",Certificate_Input!C23,"")</f>
        <v/>
      </c>
      <c r="G63" s="20">
        <f>IF(E63="","",IF(ABS(E63)&lt;=F63,"PASS","FAIL"))</f>
        <v/>
      </c>
      <c r="H63" s="22" t="n"/>
    </row>
    <row r="64">
      <c r="B64" s="17" t="n">
        <v>8</v>
      </c>
      <c r="C64" s="18" t="n"/>
      <c r="D64" s="18" t="n"/>
      <c r="E64" s="19">
        <f>IF(AND(C64&lt;&gt;"",D64&lt;&gt;""),D64-C64,"")</f>
        <v/>
      </c>
      <c r="F64" s="19">
        <f>IF(C64&lt;&gt;"",Certificate_Input!C23,"")</f>
        <v/>
      </c>
      <c r="G64" s="20">
        <f>IF(E64="","",IF(ABS(E64)&lt;=F64,"PASS","FAIL"))</f>
        <v/>
      </c>
      <c r="H64" s="22" t="n"/>
    </row>
    <row r="65">
      <c r="B65" s="17" t="n">
        <v>9</v>
      </c>
      <c r="C65" s="18" t="n"/>
      <c r="D65" s="18" t="n"/>
      <c r="E65" s="19">
        <f>IF(AND(C65&lt;&gt;"",D65&lt;&gt;""),D65-C65,"")</f>
        <v/>
      </c>
      <c r="F65" s="19">
        <f>IF(C65&lt;&gt;"",Certificate_Input!C23,"")</f>
        <v/>
      </c>
      <c r="G65" s="20">
        <f>IF(E65="","",IF(ABS(E65)&lt;=F65,"PASS","FAIL"))</f>
        <v/>
      </c>
      <c r="H65" s="22" t="n"/>
    </row>
    <row r="66">
      <c r="B66" s="17" t="n">
        <v>10</v>
      </c>
      <c r="C66" s="18" t="n"/>
      <c r="D66" s="18" t="n"/>
      <c r="E66" s="19">
        <f>IF(AND(C66&lt;&gt;"",D66&lt;&gt;""),D66-C66,"")</f>
        <v/>
      </c>
      <c r="F66" s="19">
        <f>IF(C66&lt;&gt;"",Certificate_Input!C23,"")</f>
        <v/>
      </c>
      <c r="G66" s="20">
        <f>IF(E66="","",IF(ABS(E66)&lt;=F66,"PASS","FAIL"))</f>
        <v/>
      </c>
      <c r="H66" s="22" t="n"/>
    </row>
    <row r="67">
      <c r="B67" s="17" t="n">
        <v>11</v>
      </c>
      <c r="C67" s="18" t="n"/>
      <c r="D67" s="18" t="n"/>
      <c r="E67" s="19">
        <f>IF(AND(C67&lt;&gt;"",D67&lt;&gt;""),D67-C67,"")</f>
        <v/>
      </c>
      <c r="F67" s="19">
        <f>IF(C67&lt;&gt;"",Certificate_Input!C23,"")</f>
        <v/>
      </c>
      <c r="G67" s="20">
        <f>IF(E67="","",IF(ABS(E67)&lt;=F67,"PASS","FAIL"))</f>
        <v/>
      </c>
      <c r="H67" s="22" t="n"/>
    </row>
    <row r="68">
      <c r="B68" s="17" t="n">
        <v>12</v>
      </c>
      <c r="C68" s="18" t="n"/>
      <c r="D68" s="18" t="n"/>
      <c r="E68" s="19">
        <f>IF(AND(C68&lt;&gt;"",D68&lt;&gt;""),D68-C68,"")</f>
        <v/>
      </c>
      <c r="F68" s="19">
        <f>IF(C68&lt;&gt;"",Certificate_Input!C23,"")</f>
        <v/>
      </c>
      <c r="G68" s="20">
        <f>IF(E68="","",IF(ABS(E68)&lt;=F68,"PASS","FAIL"))</f>
        <v/>
      </c>
      <c r="H68" s="22" t="n"/>
    </row>
    <row r="69">
      <c r="B69" s="17" t="n">
        <v>13</v>
      </c>
      <c r="C69" s="18" t="n"/>
      <c r="D69" s="18" t="n"/>
      <c r="E69" s="19">
        <f>IF(AND(C69&lt;&gt;"",D69&lt;&gt;""),D69-C69,"")</f>
        <v/>
      </c>
      <c r="F69" s="19">
        <f>IF(C69&lt;&gt;"",Certificate_Input!C23,"")</f>
        <v/>
      </c>
      <c r="G69" s="20">
        <f>IF(E69="","",IF(ABS(E69)&lt;=F69,"PASS","FAIL"))</f>
        <v/>
      </c>
      <c r="H69" s="22" t="n"/>
    </row>
    <row r="70">
      <c r="B70" s="17" t="n">
        <v>14</v>
      </c>
      <c r="C70" s="18" t="n"/>
      <c r="D70" s="18" t="n"/>
      <c r="E70" s="19">
        <f>IF(AND(C70&lt;&gt;"",D70&lt;&gt;""),D70-C70,"")</f>
        <v/>
      </c>
      <c r="F70" s="19">
        <f>IF(C70&lt;&gt;"",Certificate_Input!C23,"")</f>
        <v/>
      </c>
      <c r="G70" s="20">
        <f>IF(E70="","",IF(ABS(E70)&lt;=F70,"PASS","FAIL"))</f>
        <v/>
      </c>
      <c r="H70" s="22" t="n"/>
    </row>
    <row r="71">
      <c r="B71" s="17" t="n">
        <v>15</v>
      </c>
      <c r="C71" s="18" t="n"/>
      <c r="D71" s="18" t="n"/>
      <c r="E71" s="19">
        <f>IF(AND(C71&lt;&gt;"",D71&lt;&gt;""),D71-C71,"")</f>
        <v/>
      </c>
      <c r="F71" s="19">
        <f>IF(C71&lt;&gt;"",Certificate_Input!C23,"")</f>
        <v/>
      </c>
      <c r="G71" s="20">
        <f>IF(E71="","",IF(ABS(E71)&lt;=F71,"PASS","FAIL"))</f>
        <v/>
      </c>
      <c r="H71" s="23" t="n"/>
    </row>
  </sheetData>
  <mergeCells count="8">
    <mergeCell ref="H3:H17"/>
    <mergeCell ref="B1:H1"/>
    <mergeCell ref="H39:H53"/>
    <mergeCell ref="H21:H35"/>
    <mergeCell ref="B55:H55"/>
    <mergeCell ref="H57:H71"/>
    <mergeCell ref="B19:H19"/>
    <mergeCell ref="B37:H37"/>
  </mergeCells>
  <conditionalFormatting sqref="G3:G17">
    <cfRule type="cellIs" priority="1" operator="equal" dxfId="0">
      <formula>"PASS"</formula>
    </cfRule>
    <cfRule type="cellIs" priority="2" operator="equal" dxfId="1">
      <formula>"FAIL"</formula>
    </cfRule>
  </conditionalFormatting>
  <conditionalFormatting sqref="H3">
    <cfRule type="cellIs" priority="1" operator="equal" dxfId="0">
      <formula>"PASS"</formula>
    </cfRule>
    <cfRule type="cellIs" priority="2" operator="equal" dxfId="1">
      <formula>"FAIL"</formula>
    </cfRule>
  </conditionalFormatting>
  <conditionalFormatting sqref="G21:G35">
    <cfRule type="cellIs" priority="5" operator="equal" dxfId="0">
      <formula>"PASS"</formula>
    </cfRule>
    <cfRule type="cellIs" priority="6" operator="equal" dxfId="1">
      <formula>"FAIL"</formula>
    </cfRule>
  </conditionalFormatting>
  <conditionalFormatting sqref="H21">
    <cfRule type="cellIs" priority="5" operator="equal" dxfId="0">
      <formula>"PASS"</formula>
    </cfRule>
    <cfRule type="cellIs" priority="6" operator="equal" dxfId="1">
      <formula>"FAIL"</formula>
    </cfRule>
  </conditionalFormatting>
  <conditionalFormatting sqref="G39:G53">
    <cfRule type="cellIs" priority="9" operator="equal" dxfId="0">
      <formula>"PASS"</formula>
    </cfRule>
    <cfRule type="cellIs" priority="10" operator="equal" dxfId="1">
      <formula>"FAIL"</formula>
    </cfRule>
  </conditionalFormatting>
  <conditionalFormatting sqref="H39">
    <cfRule type="cellIs" priority="9" operator="equal" dxfId="0">
      <formula>"PASS"</formula>
    </cfRule>
    <cfRule type="cellIs" priority="10" operator="equal" dxfId="1">
      <formula>"FAIL"</formula>
    </cfRule>
  </conditionalFormatting>
  <conditionalFormatting sqref="G57:G71">
    <cfRule type="cellIs" priority="13" operator="equal" dxfId="0">
      <formula>"PASS"</formula>
    </cfRule>
    <cfRule type="cellIs" priority="14" operator="equal" dxfId="1">
      <formula>"FAIL"</formula>
    </cfRule>
  </conditionalFormatting>
  <conditionalFormatting sqref="H57">
    <cfRule type="cellIs" priority="13" operator="equal" dxfId="0">
      <formula>"PASS"</formula>
    </cfRule>
    <cfRule type="cellIs" priority="14" operator="equal" dxfId="1">
      <formula>"FAIL"</formula>
    </cfRule>
  </conditionalFormatting>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B1:H13"/>
  <sheetViews>
    <sheetView workbookViewId="0">
      <selection activeCell="A1" sqref="A1"/>
    </sheetView>
  </sheetViews>
  <sheetFormatPr baseColWidth="8" defaultRowHeight="15"/>
  <cols>
    <col width="4" customWidth="1" min="1" max="1"/>
    <col width="6" customWidth="1" min="2" max="2"/>
    <col width="28" customWidth="1" min="3" max="3"/>
    <col width="22" customWidth="1" min="4" max="4"/>
    <col width="20" customWidth="1" min="5" max="5"/>
    <col width="20" customWidth="1" min="6" max="6"/>
    <col width="20" customWidth="1" min="7" max="7"/>
    <col width="20" customWidth="1" min="8" max="8"/>
  </cols>
  <sheetData>
    <row r="1">
      <c r="B1" s="5" t="inlineStr">
        <is>
          <t>REFERENCE STANDARDS &amp; TRACEABILITY</t>
        </is>
      </c>
    </row>
    <row r="3">
      <c r="B3" s="16" t="inlineStr">
        <is>
          <t>#</t>
        </is>
      </c>
      <c r="C3" s="16" t="inlineStr">
        <is>
          <t>Reference Standard</t>
        </is>
      </c>
      <c r="D3" s="16" t="inlineStr">
        <is>
          <t>Manufacturer</t>
        </is>
      </c>
      <c r="E3" s="16" t="inlineStr">
        <is>
          <t>Serial Number</t>
        </is>
      </c>
      <c r="F3" s="16" t="inlineStr">
        <is>
          <t>Certificate Number</t>
        </is>
      </c>
      <c r="G3" s="16" t="inlineStr">
        <is>
          <t>Calibration Due</t>
        </is>
      </c>
      <c r="H3" s="16" t="inlineStr">
        <is>
          <t>Traceability</t>
        </is>
      </c>
    </row>
    <row r="4">
      <c r="B4" s="17" t="n">
        <v>1</v>
      </c>
      <c r="C4" s="18" t="n"/>
      <c r="D4" s="18" t="n"/>
      <c r="E4" s="18" t="n"/>
      <c r="F4" s="18" t="n"/>
      <c r="G4" s="24" t="n"/>
      <c r="H4" s="18" t="n"/>
    </row>
    <row r="5">
      <c r="B5" s="17" t="n">
        <v>2</v>
      </c>
      <c r="C5" s="18" t="n"/>
      <c r="D5" s="18" t="n"/>
      <c r="E5" s="18" t="n"/>
      <c r="F5" s="18" t="n"/>
      <c r="G5" s="24" t="n"/>
      <c r="H5" s="18" t="n"/>
    </row>
    <row r="6">
      <c r="B6" s="17" t="n">
        <v>3</v>
      </c>
      <c r="C6" s="18" t="n"/>
      <c r="D6" s="18" t="n"/>
      <c r="E6" s="18" t="n"/>
      <c r="F6" s="18" t="n"/>
      <c r="G6" s="24" t="n"/>
      <c r="H6" s="18" t="n"/>
    </row>
    <row r="7">
      <c r="B7" s="17" t="n">
        <v>4</v>
      </c>
      <c r="C7" s="18" t="n"/>
      <c r="D7" s="18" t="n"/>
      <c r="E7" s="18" t="n"/>
      <c r="F7" s="18" t="n"/>
      <c r="G7" s="24" t="n"/>
      <c r="H7" s="18" t="n"/>
    </row>
    <row r="8">
      <c r="B8" s="17" t="n">
        <v>5</v>
      </c>
      <c r="C8" s="18" t="n"/>
      <c r="D8" s="18" t="n"/>
      <c r="E8" s="18" t="n"/>
      <c r="F8" s="18" t="n"/>
      <c r="G8" s="24" t="n"/>
      <c r="H8" s="18" t="n"/>
    </row>
    <row r="9">
      <c r="B9" s="17" t="n">
        <v>6</v>
      </c>
      <c r="C9" s="18" t="n"/>
      <c r="D9" s="18" t="n"/>
      <c r="E9" s="18" t="n"/>
      <c r="F9" s="18" t="n"/>
      <c r="G9" s="24" t="n"/>
      <c r="H9" s="18" t="n"/>
    </row>
    <row r="10">
      <c r="B10" s="17" t="n">
        <v>7</v>
      </c>
      <c r="C10" s="18" t="n"/>
      <c r="D10" s="18" t="n"/>
      <c r="E10" s="18" t="n"/>
      <c r="F10" s="18" t="n"/>
      <c r="G10" s="24" t="n"/>
      <c r="H10" s="18" t="n"/>
    </row>
    <row r="11">
      <c r="B11" s="17" t="n">
        <v>8</v>
      </c>
      <c r="C11" s="18" t="n"/>
      <c r="D11" s="18" t="n"/>
      <c r="E11" s="18" t="n"/>
      <c r="F11" s="18" t="n"/>
      <c r="G11" s="24" t="n"/>
      <c r="H11" s="18" t="n"/>
    </row>
    <row r="12">
      <c r="B12" s="17" t="n">
        <v>9</v>
      </c>
      <c r="C12" s="18" t="n"/>
      <c r="D12" s="18" t="n"/>
      <c r="E12" s="18" t="n"/>
      <c r="F12" s="18" t="n"/>
      <c r="G12" s="24" t="n"/>
      <c r="H12" s="18" t="n"/>
    </row>
    <row r="13">
      <c r="B13" s="17" t="n">
        <v>10</v>
      </c>
      <c r="C13" s="18" t="n"/>
      <c r="D13" s="18" t="n"/>
      <c r="E13" s="18" t="n"/>
      <c r="F13" s="18" t="n"/>
      <c r="G13" s="24" t="n"/>
      <c r="H13" s="18" t="n"/>
    </row>
  </sheetData>
  <mergeCells count="1">
    <mergeCell ref="B1:H1"/>
  </mergeCells>
  <dataValidations count="1">
    <dataValidation sqref="G4 G5 G6 G7 G8 G9 G10 G11 G12 G13" showDropDown="0" showInputMessage="0" showErrorMessage="0" allowBlank="1" error="Enter a valid date" type="date"/>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G55"/>
  <sheetViews>
    <sheetView workbookViewId="0">
      <selection activeCell="A1" sqref="A1"/>
    </sheetView>
  </sheetViews>
  <sheetFormatPr baseColWidth="8" defaultRowHeight="15"/>
  <cols>
    <col width="4" customWidth="1" min="1" max="1"/>
    <col width="6" customWidth="1" min="2" max="2"/>
    <col width="18" customWidth="1" min="3" max="3"/>
    <col width="20" customWidth="1" min="4" max="4"/>
    <col width="18" customWidth="1" min="5" max="5"/>
    <col width="40" customWidth="1" min="6" max="6"/>
    <col width="20" customWidth="1" min="7" max="7"/>
  </cols>
  <sheetData>
    <row r="1">
      <c r="B1" s="5" t="inlineStr">
        <is>
          <t>AUDIT LOG — CERTIFICATE CHANGE HISTORY</t>
        </is>
      </c>
    </row>
    <row r="2">
      <c r="B2" s="6" t="inlineStr">
        <is>
          <t>Record all changes, reviews, and approvals below.</t>
        </is>
      </c>
    </row>
    <row r="4">
      <c r="B4" s="16" t="inlineStr">
        <is>
          <t>#</t>
        </is>
      </c>
      <c r="C4" s="16" t="inlineStr">
        <is>
          <t>Date</t>
        </is>
      </c>
      <c r="D4" s="16" t="inlineStr">
        <is>
          <t>Action</t>
        </is>
      </c>
      <c r="E4" s="16" t="inlineStr">
        <is>
          <t>Performed By</t>
        </is>
      </c>
      <c r="F4" s="16" t="inlineStr">
        <is>
          <t>Description</t>
        </is>
      </c>
      <c r="G4" s="16" t="inlineStr">
        <is>
          <t>Verified By</t>
        </is>
      </c>
    </row>
    <row r="5">
      <c r="B5" s="3" t="n">
        <v>1</v>
      </c>
      <c r="C5" s="25" t="inlineStr">
        <is>
          <t>2026-03-26</t>
        </is>
      </c>
      <c r="D5" s="25" t="inlineStr">
        <is>
          <t>Certificate Created</t>
        </is>
      </c>
      <c r="E5" s="25" t="inlineStr">
        <is>
          <t>System</t>
        </is>
      </c>
      <c r="F5" s="25" t="inlineStr">
        <is>
          <t>Initial certificate template generated</t>
        </is>
      </c>
      <c r="G5" s="25" t="n"/>
    </row>
    <row r="6">
      <c r="B6" s="17" t="n">
        <v>2</v>
      </c>
      <c r="C6" s="26" t="n"/>
      <c r="D6" s="26" t="n"/>
      <c r="E6" s="26" t="n"/>
      <c r="F6" s="26" t="n"/>
      <c r="G6" s="26" t="n"/>
    </row>
    <row r="7">
      <c r="B7" s="17" t="n">
        <v>3</v>
      </c>
      <c r="C7" s="26" t="n"/>
      <c r="D7" s="26" t="n"/>
      <c r="E7" s="26" t="n"/>
      <c r="F7" s="26" t="n"/>
      <c r="G7" s="26" t="n"/>
    </row>
    <row r="8">
      <c r="B8" s="17" t="n">
        <v>4</v>
      </c>
      <c r="C8" s="26" t="n"/>
      <c r="D8" s="26" t="n"/>
      <c r="E8" s="26" t="n"/>
      <c r="F8" s="26" t="n"/>
      <c r="G8" s="26" t="n"/>
    </row>
    <row r="9">
      <c r="B9" s="17" t="n">
        <v>5</v>
      </c>
      <c r="C9" s="26" t="n"/>
      <c r="D9" s="26" t="n"/>
      <c r="E9" s="26" t="n"/>
      <c r="F9" s="26" t="n"/>
      <c r="G9" s="26" t="n"/>
    </row>
    <row r="10">
      <c r="B10" s="17" t="n">
        <v>6</v>
      </c>
      <c r="C10" s="26" t="n"/>
      <c r="D10" s="26" t="n"/>
      <c r="E10" s="26" t="n"/>
      <c r="F10" s="26" t="n"/>
      <c r="G10" s="26" t="n"/>
    </row>
    <row r="11">
      <c r="B11" s="17" t="n">
        <v>7</v>
      </c>
      <c r="C11" s="26" t="n"/>
      <c r="D11" s="26" t="n"/>
      <c r="E11" s="26" t="n"/>
      <c r="F11" s="26" t="n"/>
      <c r="G11" s="26" t="n"/>
    </row>
    <row r="12">
      <c r="B12" s="17" t="n">
        <v>8</v>
      </c>
      <c r="C12" s="26" t="n"/>
      <c r="D12" s="26" t="n"/>
      <c r="E12" s="26" t="n"/>
      <c r="F12" s="26" t="n"/>
      <c r="G12" s="26" t="n"/>
    </row>
    <row r="13">
      <c r="B13" s="17" t="n">
        <v>9</v>
      </c>
      <c r="C13" s="26" t="n"/>
      <c r="D13" s="26" t="n"/>
      <c r="E13" s="26" t="n"/>
      <c r="F13" s="26" t="n"/>
      <c r="G13" s="26" t="n"/>
    </row>
    <row r="14">
      <c r="B14" s="17" t="n">
        <v>10</v>
      </c>
      <c r="C14" s="26" t="n"/>
      <c r="D14" s="26" t="n"/>
      <c r="E14" s="26" t="n"/>
      <c r="F14" s="26" t="n"/>
      <c r="G14" s="26" t="n"/>
    </row>
    <row r="15">
      <c r="B15" s="17" t="n">
        <v>11</v>
      </c>
      <c r="C15" s="26" t="n"/>
      <c r="D15" s="26" t="n"/>
      <c r="E15" s="26" t="n"/>
      <c r="F15" s="26" t="n"/>
      <c r="G15" s="26" t="n"/>
    </row>
    <row r="16">
      <c r="B16" s="17" t="n">
        <v>12</v>
      </c>
      <c r="C16" s="26" t="n"/>
      <c r="D16" s="26" t="n"/>
      <c r="E16" s="26" t="n"/>
      <c r="F16" s="26" t="n"/>
      <c r="G16" s="26" t="n"/>
    </row>
    <row r="17">
      <c r="B17" s="17" t="n">
        <v>13</v>
      </c>
      <c r="C17" s="26" t="n"/>
      <c r="D17" s="26" t="n"/>
      <c r="E17" s="26" t="n"/>
      <c r="F17" s="26" t="n"/>
      <c r="G17" s="26" t="n"/>
    </row>
    <row r="18">
      <c r="B18" s="17" t="n">
        <v>14</v>
      </c>
      <c r="C18" s="26" t="n"/>
      <c r="D18" s="26" t="n"/>
      <c r="E18" s="26" t="n"/>
      <c r="F18" s="26" t="n"/>
      <c r="G18" s="26" t="n"/>
    </row>
    <row r="19">
      <c r="B19" s="17" t="n">
        <v>15</v>
      </c>
      <c r="C19" s="26" t="n"/>
      <c r="D19" s="26" t="n"/>
      <c r="E19" s="26" t="n"/>
      <c r="F19" s="26" t="n"/>
      <c r="G19" s="26" t="n"/>
    </row>
    <row r="20">
      <c r="B20" s="17" t="n">
        <v>16</v>
      </c>
      <c r="C20" s="26" t="n"/>
      <c r="D20" s="26" t="n"/>
      <c r="E20" s="26" t="n"/>
      <c r="F20" s="26" t="n"/>
      <c r="G20" s="26" t="n"/>
    </row>
    <row r="21">
      <c r="B21" s="17" t="n">
        <v>17</v>
      </c>
      <c r="C21" s="26" t="n"/>
      <c r="D21" s="26" t="n"/>
      <c r="E21" s="26" t="n"/>
      <c r="F21" s="26" t="n"/>
      <c r="G21" s="26" t="n"/>
    </row>
    <row r="22">
      <c r="B22" s="17" t="n">
        <v>18</v>
      </c>
      <c r="C22" s="26" t="n"/>
      <c r="D22" s="26" t="n"/>
      <c r="E22" s="26" t="n"/>
      <c r="F22" s="26" t="n"/>
      <c r="G22" s="26" t="n"/>
    </row>
    <row r="23">
      <c r="B23" s="17" t="n">
        <v>19</v>
      </c>
      <c r="C23" s="26" t="n"/>
      <c r="D23" s="26" t="n"/>
      <c r="E23" s="26" t="n"/>
      <c r="F23" s="26" t="n"/>
      <c r="G23" s="26" t="n"/>
    </row>
    <row r="24">
      <c r="B24" s="17" t="n">
        <v>20</v>
      </c>
      <c r="C24" s="26" t="n"/>
      <c r="D24" s="26" t="n"/>
      <c r="E24" s="26" t="n"/>
      <c r="F24" s="26" t="n"/>
      <c r="G24" s="26" t="n"/>
    </row>
    <row r="25">
      <c r="B25" s="17" t="n">
        <v>21</v>
      </c>
      <c r="C25" s="26" t="n"/>
      <c r="D25" s="26" t="n"/>
      <c r="E25" s="26" t="n"/>
      <c r="F25" s="26" t="n"/>
      <c r="G25" s="26" t="n"/>
    </row>
    <row r="26">
      <c r="B26" s="17" t="n">
        <v>22</v>
      </c>
      <c r="C26" s="26" t="n"/>
      <c r="D26" s="26" t="n"/>
      <c r="E26" s="26" t="n"/>
      <c r="F26" s="26" t="n"/>
      <c r="G26" s="26" t="n"/>
    </row>
    <row r="27">
      <c r="B27" s="17" t="n">
        <v>23</v>
      </c>
      <c r="C27" s="26" t="n"/>
      <c r="D27" s="26" t="n"/>
      <c r="E27" s="26" t="n"/>
      <c r="F27" s="26" t="n"/>
      <c r="G27" s="26" t="n"/>
    </row>
    <row r="28">
      <c r="B28" s="17" t="n">
        <v>24</v>
      </c>
      <c r="C28" s="26" t="n"/>
      <c r="D28" s="26" t="n"/>
      <c r="E28" s="26" t="n"/>
      <c r="F28" s="26" t="n"/>
      <c r="G28" s="26" t="n"/>
    </row>
    <row r="29">
      <c r="B29" s="17" t="n">
        <v>25</v>
      </c>
      <c r="C29" s="26" t="n"/>
      <c r="D29" s="26" t="n"/>
      <c r="E29" s="26" t="n"/>
      <c r="F29" s="26" t="n"/>
      <c r="G29" s="26" t="n"/>
    </row>
    <row r="30">
      <c r="B30" s="17" t="n">
        <v>26</v>
      </c>
      <c r="C30" s="26" t="n"/>
      <c r="D30" s="26" t="n"/>
      <c r="E30" s="26" t="n"/>
      <c r="F30" s="26" t="n"/>
      <c r="G30" s="26" t="n"/>
    </row>
    <row r="31">
      <c r="B31" s="17" t="n">
        <v>27</v>
      </c>
      <c r="C31" s="26" t="n"/>
      <c r="D31" s="26" t="n"/>
      <c r="E31" s="26" t="n"/>
      <c r="F31" s="26" t="n"/>
      <c r="G31" s="26" t="n"/>
    </row>
    <row r="32">
      <c r="B32" s="17" t="n">
        <v>28</v>
      </c>
      <c r="C32" s="26" t="n"/>
      <c r="D32" s="26" t="n"/>
      <c r="E32" s="26" t="n"/>
      <c r="F32" s="26" t="n"/>
      <c r="G32" s="26" t="n"/>
    </row>
    <row r="33">
      <c r="B33" s="17" t="n">
        <v>29</v>
      </c>
      <c r="C33" s="26" t="n"/>
      <c r="D33" s="26" t="n"/>
      <c r="E33" s="26" t="n"/>
      <c r="F33" s="26" t="n"/>
      <c r="G33" s="26" t="n"/>
    </row>
    <row r="34">
      <c r="B34" s="17" t="n">
        <v>30</v>
      </c>
      <c r="C34" s="26" t="n"/>
      <c r="D34" s="26" t="n"/>
      <c r="E34" s="26" t="n"/>
      <c r="F34" s="26" t="n"/>
      <c r="G34" s="26" t="n"/>
    </row>
    <row r="35">
      <c r="B35" s="17" t="n">
        <v>31</v>
      </c>
      <c r="C35" s="26" t="n"/>
      <c r="D35" s="26" t="n"/>
      <c r="E35" s="26" t="n"/>
      <c r="F35" s="26" t="n"/>
      <c r="G35" s="26" t="n"/>
    </row>
    <row r="36">
      <c r="B36" s="17" t="n">
        <v>32</v>
      </c>
      <c r="C36" s="26" t="n"/>
      <c r="D36" s="26" t="n"/>
      <c r="E36" s="26" t="n"/>
      <c r="F36" s="26" t="n"/>
      <c r="G36" s="26" t="n"/>
    </row>
    <row r="37">
      <c r="B37" s="17" t="n">
        <v>33</v>
      </c>
      <c r="C37" s="26" t="n"/>
      <c r="D37" s="26" t="n"/>
      <c r="E37" s="26" t="n"/>
      <c r="F37" s="26" t="n"/>
      <c r="G37" s="26" t="n"/>
    </row>
    <row r="38">
      <c r="B38" s="17" t="n">
        <v>34</v>
      </c>
      <c r="C38" s="26" t="n"/>
      <c r="D38" s="26" t="n"/>
      <c r="E38" s="26" t="n"/>
      <c r="F38" s="26" t="n"/>
      <c r="G38" s="26" t="n"/>
    </row>
    <row r="39">
      <c r="B39" s="17" t="n">
        <v>35</v>
      </c>
      <c r="C39" s="26" t="n"/>
      <c r="D39" s="26" t="n"/>
      <c r="E39" s="26" t="n"/>
      <c r="F39" s="26" t="n"/>
      <c r="G39" s="26" t="n"/>
    </row>
    <row r="40">
      <c r="B40" s="17" t="n">
        <v>36</v>
      </c>
      <c r="C40" s="26" t="n"/>
      <c r="D40" s="26" t="n"/>
      <c r="E40" s="26" t="n"/>
      <c r="F40" s="26" t="n"/>
      <c r="G40" s="26" t="n"/>
    </row>
    <row r="41">
      <c r="B41" s="17" t="n">
        <v>37</v>
      </c>
      <c r="C41" s="26" t="n"/>
      <c r="D41" s="26" t="n"/>
      <c r="E41" s="26" t="n"/>
      <c r="F41" s="26" t="n"/>
      <c r="G41" s="26" t="n"/>
    </row>
    <row r="42">
      <c r="B42" s="17" t="n">
        <v>38</v>
      </c>
      <c r="C42" s="26" t="n"/>
      <c r="D42" s="26" t="n"/>
      <c r="E42" s="26" t="n"/>
      <c r="F42" s="26" t="n"/>
      <c r="G42" s="26" t="n"/>
    </row>
    <row r="43">
      <c r="B43" s="17" t="n">
        <v>39</v>
      </c>
      <c r="C43" s="26" t="n"/>
      <c r="D43" s="26" t="n"/>
      <c r="E43" s="26" t="n"/>
      <c r="F43" s="26" t="n"/>
      <c r="G43" s="26" t="n"/>
    </row>
    <row r="44">
      <c r="B44" s="17" t="n">
        <v>40</v>
      </c>
      <c r="C44" s="26" t="n"/>
      <c r="D44" s="26" t="n"/>
      <c r="E44" s="26" t="n"/>
      <c r="F44" s="26" t="n"/>
      <c r="G44" s="26" t="n"/>
    </row>
    <row r="45">
      <c r="B45" s="17" t="n">
        <v>41</v>
      </c>
      <c r="C45" s="26" t="n"/>
      <c r="D45" s="26" t="n"/>
      <c r="E45" s="26" t="n"/>
      <c r="F45" s="26" t="n"/>
      <c r="G45" s="26" t="n"/>
    </row>
    <row r="46">
      <c r="B46" s="17" t="n">
        <v>42</v>
      </c>
      <c r="C46" s="26" t="n"/>
      <c r="D46" s="26" t="n"/>
      <c r="E46" s="26" t="n"/>
      <c r="F46" s="26" t="n"/>
      <c r="G46" s="26" t="n"/>
    </row>
    <row r="47">
      <c r="B47" s="17" t="n">
        <v>43</v>
      </c>
      <c r="C47" s="26" t="n"/>
      <c r="D47" s="26" t="n"/>
      <c r="E47" s="26" t="n"/>
      <c r="F47" s="26" t="n"/>
      <c r="G47" s="26" t="n"/>
    </row>
    <row r="48">
      <c r="B48" s="17" t="n">
        <v>44</v>
      </c>
      <c r="C48" s="26" t="n"/>
      <c r="D48" s="26" t="n"/>
      <c r="E48" s="26" t="n"/>
      <c r="F48" s="26" t="n"/>
      <c r="G48" s="26" t="n"/>
    </row>
    <row r="49">
      <c r="B49" s="17" t="n">
        <v>45</v>
      </c>
      <c r="C49" s="26" t="n"/>
      <c r="D49" s="26" t="n"/>
      <c r="E49" s="26" t="n"/>
      <c r="F49" s="26" t="n"/>
      <c r="G49" s="26" t="n"/>
    </row>
    <row r="50">
      <c r="B50" s="17" t="n">
        <v>46</v>
      </c>
      <c r="C50" s="26" t="n"/>
      <c r="D50" s="26" t="n"/>
      <c r="E50" s="26" t="n"/>
      <c r="F50" s="26" t="n"/>
      <c r="G50" s="26" t="n"/>
    </row>
    <row r="51">
      <c r="B51" s="17" t="n">
        <v>47</v>
      </c>
      <c r="C51" s="26" t="n"/>
      <c r="D51" s="26" t="n"/>
      <c r="E51" s="26" t="n"/>
      <c r="F51" s="26" t="n"/>
      <c r="G51" s="26" t="n"/>
    </row>
    <row r="52">
      <c r="B52" s="17" t="n">
        <v>48</v>
      </c>
      <c r="C52" s="26" t="n"/>
      <c r="D52" s="26" t="n"/>
      <c r="E52" s="26" t="n"/>
      <c r="F52" s="26" t="n"/>
      <c r="G52" s="26" t="n"/>
    </row>
    <row r="53">
      <c r="B53" s="17" t="n">
        <v>49</v>
      </c>
      <c r="C53" s="26" t="n"/>
      <c r="D53" s="26" t="n"/>
      <c r="E53" s="26" t="n"/>
      <c r="F53" s="26" t="n"/>
      <c r="G53" s="26" t="n"/>
    </row>
    <row r="54">
      <c r="B54" s="17" t="n">
        <v>50</v>
      </c>
      <c r="C54" s="26" t="n"/>
      <c r="D54" s="26" t="n"/>
      <c r="E54" s="26" t="n"/>
      <c r="F54" s="26" t="n"/>
      <c r="G54" s="26" t="n"/>
    </row>
    <row r="55">
      <c r="B55" s="17" t="n">
        <v>51</v>
      </c>
      <c r="C55" s="26" t="n"/>
      <c r="D55" s="26" t="n"/>
      <c r="E55" s="26" t="n"/>
      <c r="F55" s="26" t="n"/>
      <c r="G55" s="26" t="n"/>
    </row>
  </sheetData>
  <mergeCells count="2">
    <mergeCell ref="B2:G2"/>
    <mergeCell ref="B1:G1"/>
  </mergeCells>
  <dataValidations count="1">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error="Select a valid action type" type="list">
      <formula1>"Certificate Created,Data Entry,Calibration Performed,Review Completed,Approval Granted,Amendment,Reissue,Voided"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2026-03-26T12:52:45Z</dcterms:created>
  <dcterms:modified xsi:type="dcterms:W3CDTF">2026-03-26T12:52:45Z</dcterms:modified>
</cp:coreProperties>
</file>