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drawings/drawing4.xml" ContentType="application/vnd.openxmlformats-officedocument.drawing+xml"/>
  <Override PartName="/xl/comments/comment2.xml" ContentType="application/vnd.openxmlformats-officedocument.spreadsheetml.comments+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7.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77040" windowHeight="21120" tabRatio="773" firstSheet="0" activeTab="9" autoFilterDateGrouping="1"/>
  </bookViews>
  <sheets>
    <sheet name="FRData" sheetId="1" state="visible" r:id="rId1"/>
    <sheet name="LINData" sheetId="2" state="visible" r:id="rId2"/>
    <sheet name="Route Creator" sheetId="3" state="visible" r:id="rId3"/>
    <sheet name="Vib Analyzer Data" sheetId="4" state="visible" r:id="rId4"/>
    <sheet name="FRCert" sheetId="5" state="hidden" r:id="rId5"/>
    <sheet name="LINCert" sheetId="6" state="hidden" r:id="rId6"/>
    <sheet name="SLINCert" sheetId="7" state="hidden" r:id="rId7"/>
    <sheet name="FRRaw" sheetId="8" state="hidden" r:id="rId8"/>
    <sheet name="LINRaw" sheetId="9" state="hidden" r:id="rId9"/>
    <sheet name="Vib Analyzer Cert" sheetId="10" state="visible" r:id="rId10"/>
    <sheet name="VersionInfo" sheetId="11" state="hidden" r:id="rId11"/>
    <sheet name="RouteRaw" sheetId="12" state="hidden" r:id="rId12"/>
    <sheet name="Linfit Worksheet" sheetId="13" state="hidden" r:id="rId13"/>
  </sheets>
  <externalReferences>
    <externalReference r:id="rId14"/>
  </externalReferences>
  <definedNames>
    <definedName name="Acceleration">'Linfit Worksheet'!$W$1:$W$4</definedName>
    <definedName name="CalibrationDate">[1]Data!$A$22</definedName>
    <definedName name="CalibrationDueDate">[1]Data!$B$22</definedName>
    <definedName name="CalibrationID">[1]Data!$A$39</definedName>
    <definedName name="Customer">[1]Data!$A$38</definedName>
    <definedName name="CustomerAddress1">[1]Data!$C$38</definedName>
    <definedName name="CustomerAddress2">[1]Data!$D$38</definedName>
    <definedName name="CustomerAddress3">[1]Data!$E$38</definedName>
    <definedName name="Description">[1]Data!$A$7</definedName>
    <definedName name="Displacement">'Linfit Worksheet'!$Y$1:$Y$4</definedName>
    <definedName name="DLinMeasureRangeUnit">'Linfit Worksheet'!$AD$2</definedName>
    <definedName name="Humidity">[1]Data!$A$31</definedName>
    <definedName name="HumidityUnits">[1]Data!$B$31</definedName>
    <definedName name="IDNumber">[1]Data!$A$6</definedName>
    <definedName name="LinearityAsFound">[1]Data!$C$28</definedName>
    <definedName name="LinearityAsLeft">[1]Data!$C$29</definedName>
    <definedName name="LinearityAxis">[1]Data!$B$24</definedName>
    <definedName name="LinearityCalibrationMethod">[1]Data!$B$41</definedName>
    <definedName name="LinearityMeasured">[1]Data!$A$46</definedName>
    <definedName name="LinearityMeasuredUnits">[1]Data!$B$46</definedName>
    <definedName name="LinearityNotes">[1]Data!$A$20</definedName>
    <definedName name="LinearityProcedureNote">[1]Data!$B$43</definedName>
    <definedName name="LinearityReproductionNote">[1]Data!$B$42</definedName>
    <definedName name="LinearitySensitivity">[1]Data!$A$45</definedName>
    <definedName name="LinearitySensitivityUnits">[1]Data!$B$45</definedName>
    <definedName name="LinearityStationNote">[1]Data!$B$44</definedName>
    <definedName name="LinearityTechnician">[1]Data!$B$18</definedName>
    <definedName name="LinearityTestFreq">[1]Data!$A$47</definedName>
    <definedName name="LinearityTestFreqUnits">[1]Data!$B$47</definedName>
    <definedName name="LinearityTitle">[1]Data!$B$2</definedName>
    <definedName name="LinearityTraceabilityNote">[1]Data!$B$40</definedName>
    <definedName name="Manufacturer">[1]Data!$A$3</definedName>
    <definedName name="MeasurementRange">[1]Data!$A$33</definedName>
    <definedName name="MeasurementRangeUnits">[1]Data!$B$33</definedName>
    <definedName name="MeasurementResolution">[1]Data!$A$34</definedName>
    <definedName name="MeasurementResolutionUnits">[1]Data!$B$34</definedName>
    <definedName name="MinAmplitude">'Vib Analyzer Data'!$B$38</definedName>
    <definedName name="MinAmpXaxis">'Vib Analyzer Data'!$B$38</definedName>
    <definedName name="MinfreqXaxis">'Vib Analyzer Data'!$B$39</definedName>
    <definedName name="Model">[1]Data!$A$4</definedName>
    <definedName name="pvc_route" comment="This file name will be embedded to &quot;_route.cvs&quot;">'Route Creator'!$B$8</definedName>
    <definedName name="PVCFWVers">'Linfit Worksheet'!$AF$1:$AF$2</definedName>
    <definedName name="ResonantFrequency">[1]Data!$A$16</definedName>
    <definedName name="ResonantFrequencyUnits">[1]Data!$B$16</definedName>
    <definedName name="RouteType">'Linfit Worksheet'!$AE$1:$AE$2</definedName>
    <definedName name="SensitivityPrecision">[1]Data!$C$1</definedName>
    <definedName name="SensUnits">'Linfit Worksheet'!$AB$1:$AB$10</definedName>
    <definedName name="Serial">[1]Data!$A$5</definedName>
    <definedName name="SLinMeasureRangeUnit">'Linfit Worksheet'!$AD$1</definedName>
    <definedName name="SystemUnits">[1]Data!$A$48</definedName>
    <definedName name="TablePrecision">[1]Data!$E$1</definedName>
    <definedName name="TemperatureEng">[1]Data!$C$30</definedName>
    <definedName name="TemperatureEngUnits">[1]Data!$D$30</definedName>
    <definedName name="TemperatureMet">[1]Data!$A$30</definedName>
    <definedName name="TemperatureMetUnits">[1]Data!$B$30</definedName>
    <definedName name="TemperatureRangeEngMax">[1]Data!$B$36</definedName>
    <definedName name="TemperatureRangeEngMin">[1]Data!$A$36</definedName>
    <definedName name="TemperatureRangeMetMax">[1]Data!$B$35</definedName>
    <definedName name="TemperatureRangeMetMin">[1]Data!$A$35</definedName>
    <definedName name="TypeOfMotion">'Linfit Worksheet'!$V$1:$V$3</definedName>
    <definedName name="Velocity">'Linfit Worksheet'!$X$1:$X$4</definedName>
    <definedName name="VibeUnits">'Linfit Worksheet'!$AA$1:$AA$10</definedName>
    <definedName name="VorI">'Linfit Worksheet'!$Z$1:$Z$4</definedName>
    <definedName name="_xlnm.Print_Area" localSheetId="2">'Route Creator'!$B$8</definedName>
    <definedName name="_xlnm.Print_Area" localSheetId="3">'Vib Analyzer Data'!$A$1:$M$44</definedName>
    <definedName name="_xlnm.Print_Area" localSheetId="4">'FRCert'!$A$1:$L$58</definedName>
    <definedName name="_xlnm.Print_Area" localSheetId="5">'LINCert'!$A$1:$AC$58</definedName>
    <definedName name="_xlnm.Print_Area" localSheetId="6">'SLINCert'!$A$1:$AC$55</definedName>
    <definedName name="_xlnm.Print_Area" localSheetId="9">'Vib Analyzer Cert'!$A$1:$O$49</definedName>
  </definedNames>
  <calcPr calcId="191029" fullCalcOnLoad="1"/>
</workbook>
</file>

<file path=xl/styles.xml><?xml version="1.0" encoding="utf-8"?>
<styleSheet xmlns="http://schemas.openxmlformats.org/spreadsheetml/2006/main">
  <numFmts count="6">
    <numFmt numFmtId="164" formatCode="0.000"/>
    <numFmt numFmtId="165" formatCode="0.0"/>
    <numFmt numFmtId="166" formatCode="0.000%"/>
    <numFmt numFmtId="167" formatCode="0.0000"/>
    <numFmt numFmtId="168" formatCode="[$-409]d\-mmm\-yyyy;@"/>
    <numFmt numFmtId="169" formatCode="0.0%"/>
  </numFmts>
  <fonts count="83">
    <font>
      <name val="Calibri"/>
      <family val="2"/>
      <color theme="1"/>
      <sz val="11"/>
      <scheme val="minor"/>
    </font>
    <font>
      <name val="Calibri"/>
      <family val="2"/>
      <color indexed="8"/>
      <sz val="11"/>
    </font>
    <font>
      <name val="Arial"/>
      <family val="2"/>
      <sz val="10"/>
    </font>
    <font>
      <name val="Arial"/>
      <family val="2"/>
      <sz val="12"/>
    </font>
    <font>
      <name val="Arial"/>
      <family val="2"/>
      <b val="1"/>
      <sz val="12"/>
    </font>
    <font>
      <name val="Arial"/>
      <family val="2"/>
      <sz val="16"/>
    </font>
    <font>
      <name val="Arial"/>
      <family val="2"/>
      <b val="1"/>
      <sz val="10"/>
    </font>
    <font>
      <name val="Arial"/>
      <family val="2"/>
      <sz val="9"/>
    </font>
    <font>
      <name val="Arial"/>
      <family val="2"/>
      <b val="1"/>
      <sz val="11"/>
    </font>
    <font>
      <name val="Arial"/>
      <family val="2"/>
      <sz val="8"/>
    </font>
    <font>
      <name val="Arial"/>
      <family val="2"/>
      <b val="1"/>
      <i val="1"/>
      <sz val="8"/>
    </font>
    <font>
      <name val="Arial"/>
      <family val="2"/>
      <b val="1"/>
      <sz val="9"/>
    </font>
    <font>
      <name val="Arial"/>
      <family val="2"/>
      <b val="1"/>
      <i val="1"/>
      <sz val="9"/>
    </font>
    <font>
      <name val="Arial Narrow"/>
      <family val="2"/>
      <b val="1"/>
      <i val="1"/>
      <sz val="8"/>
    </font>
    <font>
      <name val="Arial Narrow"/>
      <family val="2"/>
      <sz val="9"/>
    </font>
    <font>
      <name val="Arial"/>
      <family val="2"/>
      <b val="1"/>
      <i val="1"/>
      <sz val="9"/>
      <u val="single"/>
    </font>
    <font>
      <name val="Arial"/>
      <family val="2"/>
      <sz val="7"/>
    </font>
    <font>
      <name val="Times New Roman"/>
      <family val="1"/>
      <sz val="6"/>
    </font>
    <font>
      <name val="Arial Narrow"/>
      <family val="2"/>
      <sz val="10"/>
    </font>
    <font>
      <name val="Calibri"/>
      <family val="2"/>
      <sz val="8"/>
    </font>
    <font>
      <name val="Arial"/>
      <family val="2"/>
      <b val="1"/>
      <color indexed="9"/>
      <sz val="12"/>
    </font>
    <font>
      <name val="Arial"/>
      <family val="2"/>
      <color indexed="9"/>
      <sz val="12"/>
    </font>
    <font>
      <name val="Arial"/>
      <family val="2"/>
      <color indexed="63"/>
      <sz val="12"/>
    </font>
    <font>
      <name val="Arial Narrow"/>
      <family val="2"/>
      <color indexed="8"/>
      <sz val="11"/>
    </font>
    <font>
      <name val="Calibri"/>
      <family val="2"/>
      <color indexed="8"/>
      <sz val="11"/>
    </font>
    <font>
      <name val="Arial"/>
      <family val="2"/>
      <b val="1"/>
      <color indexed="8"/>
      <sz val="12"/>
    </font>
    <font>
      <name val="Tahoma"/>
      <family val="2"/>
      <b val="1"/>
      <color indexed="81"/>
      <sz val="9"/>
    </font>
    <font>
      <name val="Calibri"/>
      <family val="2"/>
      <b val="1"/>
      <i val="1"/>
      <color indexed="8"/>
      <sz val="16"/>
    </font>
    <font>
      <name val="Calibri"/>
      <family val="2"/>
      <sz val="10"/>
    </font>
    <font>
      <name val="Calibri"/>
      <family val="2"/>
      <sz val="10"/>
      <vertAlign val="superscript"/>
    </font>
    <font>
      <name val="Arial"/>
      <family val="2"/>
      <color indexed="8"/>
      <sz val="11"/>
    </font>
    <font>
      <name val="Arial"/>
      <family val="2"/>
      <sz val="10"/>
      <vertAlign val="superscript"/>
    </font>
    <font>
      <name val="Arial"/>
      <family val="2"/>
      <sz val="9"/>
      <vertAlign val="superscript"/>
    </font>
    <font>
      <name val="Arial Narrow"/>
      <family val="2"/>
      <sz val="8"/>
    </font>
    <font>
      <name val="Calibri"/>
      <family val="2"/>
      <b val="1"/>
      <color indexed="8"/>
      <sz val="9"/>
    </font>
    <font>
      <name val="Arial"/>
      <family val="2"/>
      <color indexed="8"/>
      <sz val="12"/>
    </font>
    <font>
      <name val="Arial"/>
      <family val="2"/>
      <b val="1"/>
      <sz val="16"/>
    </font>
    <font>
      <name val="Arial Black"/>
      <family val="2"/>
      <b val="1"/>
      <i val="1"/>
      <color indexed="8"/>
      <sz val="14"/>
    </font>
    <font>
      <name val="Arial Black"/>
      <family val="2"/>
      <b val="1"/>
      <i val="1"/>
      <sz val="14"/>
    </font>
    <font>
      <name val="Arial"/>
      <family val="2"/>
      <b val="1"/>
      <color indexed="10"/>
      <sz val="12"/>
    </font>
    <font>
      <name val="Calibri"/>
      <family val="2"/>
      <color indexed="8"/>
      <sz val="11"/>
    </font>
    <font>
      <name val="Arial"/>
      <family val="2"/>
      <b val="1"/>
      <sz val="14"/>
    </font>
    <font>
      <name val="Calibri"/>
      <family val="2"/>
      <b val="1"/>
      <color indexed="8"/>
      <sz val="12"/>
    </font>
    <font>
      <name val="Arial"/>
      <family val="2"/>
      <color indexed="9"/>
      <sz val="12"/>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b val="1"/>
      <color theme="0"/>
      <sz val="11"/>
      <scheme val="minor"/>
    </font>
    <font>
      <name val="Calibri"/>
      <family val="2"/>
      <i val="1"/>
      <color rgb="FF7F7F7F"/>
      <sz val="11"/>
      <scheme val="minor"/>
    </font>
    <font>
      <name val="Calibri"/>
      <family val="2"/>
      <color rgb="FF006100"/>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3F3F76"/>
      <sz val="11"/>
      <scheme val="minor"/>
    </font>
    <font>
      <name val="Calibri"/>
      <family val="2"/>
      <color rgb="FFFA7D00"/>
      <sz val="11"/>
      <scheme val="minor"/>
    </font>
    <font>
      <name val="Calibri"/>
      <family val="2"/>
      <color rgb="FF9C6500"/>
      <sz val="11"/>
      <scheme val="minor"/>
    </font>
    <font>
      <name val="Calibri"/>
      <family val="2"/>
      <b val="1"/>
      <color rgb="FF3F3F3F"/>
      <sz val="11"/>
      <scheme val="minor"/>
    </font>
    <font>
      <name val="Cambria"/>
      <family val="2"/>
      <b val="1"/>
      <color theme="3"/>
      <sz val="18"/>
      <scheme val="major"/>
    </font>
    <font>
      <name val="Calibri"/>
      <family val="2"/>
      <b val="1"/>
      <color theme="1"/>
      <sz val="11"/>
      <scheme val="minor"/>
    </font>
    <font>
      <name val="Calibri"/>
      <family val="2"/>
      <color rgb="FFFF0000"/>
      <sz val="11"/>
      <scheme val="minor"/>
    </font>
    <font>
      <name val="Arial"/>
      <family val="2"/>
      <b val="1"/>
      <color rgb="FF000000"/>
      <sz val="12"/>
    </font>
    <font>
      <name val="Arial"/>
      <family val="2"/>
      <b val="1"/>
      <color rgb="FF000000"/>
      <sz val="10"/>
    </font>
    <font>
      <name val="Calibri"/>
      <family val="2"/>
      <b val="1"/>
      <color rgb="FF000000"/>
      <sz val="14"/>
    </font>
    <font>
      <name val="Arial"/>
      <family val="2"/>
      <b val="1"/>
      <color indexed="9"/>
      <sz val="16"/>
    </font>
    <font>
      <name val="Arial Black"/>
      <family val="2"/>
      <b val="1"/>
      <i val="1"/>
      <color theme="1"/>
      <sz val="14"/>
    </font>
    <font>
      <name val="Arial"/>
      <family val="2"/>
      <color theme="1"/>
      <sz val="9"/>
    </font>
    <font>
      <name val="Arial"/>
      <family val="2"/>
      <b val="1"/>
      <i val="1"/>
      <color theme="1"/>
      <sz val="9"/>
    </font>
    <font>
      <name val="Arial"/>
      <family val="2"/>
      <b val="1"/>
      <color theme="1"/>
      <sz val="9"/>
    </font>
    <font>
      <name val="Arial"/>
      <family val="2"/>
      <b val="1"/>
      <color theme="3"/>
      <sz val="9"/>
    </font>
    <font>
      <name val="Arial"/>
      <family val="2"/>
      <b val="1"/>
      <color theme="1"/>
      <sz val="8"/>
    </font>
    <font>
      <name val="Arial"/>
      <family val="2"/>
      <color theme="1"/>
      <sz val="8"/>
    </font>
    <font>
      <name val="Calibri"/>
      <family val="2"/>
      <color theme="1"/>
      <sz val="8"/>
      <scheme val="minor"/>
    </font>
    <font>
      <name val="Calibri"/>
      <family val="2"/>
      <sz val="11"/>
      <scheme val="minor"/>
    </font>
    <font>
      <name val="Arial"/>
      <family val="2"/>
      <color theme="1"/>
      <sz val="11"/>
    </font>
    <font>
      <name val="Arial"/>
      <family val="2"/>
      <b val="1"/>
      <i val="1"/>
      <color theme="1"/>
      <sz val="14"/>
    </font>
    <font>
      <name val="Arial"/>
      <family val="2"/>
      <color theme="0"/>
      <sz val="9"/>
    </font>
    <font>
      <name val="Arial"/>
      <family val="2"/>
      <b val="1"/>
      <color rgb="FF000000"/>
      <sz val="8"/>
    </font>
    <font>
      <name val="Arial"/>
      <family val="2"/>
      <color rgb="FFEEF3F8"/>
      <sz val="9"/>
    </font>
    <font>
      <name val="Calibri"/>
      <family val="2"/>
      <color rgb="FFEEF3F8"/>
      <sz val="11"/>
      <scheme val="minor"/>
    </font>
    <font>
      <name val="Calibri"/>
      <family val="2"/>
      <b val="1"/>
      <color rgb="FF000000"/>
      <sz val="10"/>
    </font>
    <font>
      <name val="Arial"/>
      <family val="2"/>
      <b val="1"/>
      <color rgb="FF0046AD"/>
      <sz val="12"/>
    </font>
    <font>
      <name val="Tahoma"/>
      <family val="2"/>
      <color indexed="81"/>
      <sz val="11"/>
    </font>
  </fonts>
  <fills count="47">
    <fill>
      <patternFill/>
    </fill>
    <fill>
      <patternFill patternType="gray125"/>
    </fill>
    <fill>
      <patternFill patternType="solid">
        <fgColor indexed="22"/>
        <bgColor indexed="26"/>
      </patternFill>
    </fill>
    <fill>
      <patternFill patternType="solid">
        <fgColor indexed="56"/>
        <bgColor indexed="64"/>
      </patternFill>
    </fill>
    <fill>
      <patternFill patternType="solid">
        <fgColor indexed="44"/>
        <bgColor indexed="64"/>
      </patternFill>
    </fill>
    <fill>
      <patternFill patternType="solid">
        <fgColor indexed="22"/>
        <bgColor indexed="64"/>
      </patternFill>
    </fill>
    <fill>
      <patternFill patternType="solid">
        <fgColor indexed="22"/>
        <bgColor indexed="43"/>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3" tint="0.5999938962981048"/>
        <bgColor indexed="64"/>
      </patternFill>
    </fill>
    <fill>
      <patternFill patternType="solid">
        <fgColor theme="3" tint="0.5999633777886288"/>
        <bgColor indexed="64"/>
      </patternFill>
    </fill>
    <fill>
      <patternFill patternType="solid">
        <fgColor theme="2" tint="-0.249977111117893"/>
        <bgColor indexed="64"/>
      </patternFill>
    </fill>
    <fill>
      <patternFill patternType="solid">
        <fgColor theme="4" tint="0.7999816888943144"/>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99CCFF"/>
        <bgColor indexed="64"/>
      </patternFill>
    </fill>
    <fill>
      <patternFill patternType="solid">
        <fgColor theme="4" tint="0.5999938962981048"/>
        <bgColor indexed="64"/>
      </patternFill>
    </fill>
  </fills>
  <borders count="9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9"/>
      </left>
      <right style="thin">
        <color indexed="9"/>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9"/>
      </left>
      <right style="thin">
        <color indexed="9"/>
      </right>
      <top style="thin">
        <color indexed="9"/>
      </top>
      <bottom/>
      <diagonal/>
    </border>
    <border>
      <left style="thin">
        <color indexed="9"/>
      </left>
      <right/>
      <top style="thin">
        <color indexed="9"/>
      </top>
      <bottom style="thin">
        <color indexed="9"/>
      </bottom>
      <diagonal/>
    </border>
    <border>
      <left style="thin">
        <color indexed="64"/>
      </left>
      <right style="thin">
        <color indexed="64"/>
      </right>
      <top/>
      <bottom style="thin">
        <color indexed="64"/>
      </bottom>
      <diagonal/>
    </border>
    <border>
      <left/>
      <right/>
      <top style="thin">
        <color indexed="9"/>
      </top>
      <bottom style="thin">
        <color indexed="9"/>
      </bottom>
      <diagonal/>
    </border>
    <border>
      <left style="thin">
        <color indexed="64"/>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right style="thin">
        <color indexed="9"/>
      </right>
      <top style="thin">
        <color indexed="9"/>
      </top>
      <bottom/>
      <diagonal/>
    </border>
    <border>
      <left style="thin">
        <color indexed="9"/>
      </left>
      <right/>
      <top style="thin">
        <color indexed="9"/>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9"/>
      </left>
      <right style="thin">
        <color indexed="9"/>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9"/>
      </left>
      <right style="thin">
        <color indexed="9"/>
      </right>
      <top style="thin">
        <color indexed="64"/>
      </top>
      <bottom style="thin">
        <color indexed="64"/>
      </bottom>
      <diagonal/>
    </border>
    <border>
      <left style="thin">
        <color indexed="64"/>
      </left>
      <right style="thin">
        <color indexed="9"/>
      </right>
      <top style="thin">
        <color indexed="64"/>
      </top>
      <bottom/>
      <diagonal/>
    </border>
    <border>
      <left style="thin">
        <color indexed="9"/>
      </left>
      <right style="thin">
        <color indexed="9"/>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diagonal/>
    </border>
    <border>
      <left style="thin">
        <color theme="0"/>
      </left>
      <right style="thin">
        <color theme="0"/>
      </right>
      <top style="thin">
        <color theme="0"/>
      </top>
      <bottom/>
      <diagonal/>
    </border>
    <border>
      <left style="thin">
        <color theme="1"/>
      </left>
      <right style="thin">
        <color theme="1"/>
      </right>
      <top style="thin">
        <color theme="1"/>
      </top>
      <bottom style="thin">
        <color theme="1"/>
      </bottom>
      <diagonal/>
    </border>
    <border>
      <left style="thin">
        <color theme="1"/>
      </left>
      <right/>
      <top style="thin">
        <color indexed="9"/>
      </top>
      <bottom style="thin">
        <color indexed="9"/>
      </bottom>
      <diagonal/>
    </border>
    <border>
      <left style="thin">
        <color indexed="64"/>
      </left>
      <right/>
      <top style="thin">
        <color indexed="9"/>
      </top>
      <bottom style="thin">
        <color indexed="9"/>
      </bottom>
      <diagonal/>
    </border>
    <border>
      <left/>
      <right/>
      <top/>
      <bottom style="thin">
        <color indexed="64"/>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right/>
      <top style="thin">
        <color indexed="64"/>
      </top>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9"/>
      </left>
      <right/>
      <top/>
      <bottom style="thin">
        <color indexed="64"/>
      </bottom>
      <diagonal/>
    </border>
    <border>
      <left/>
      <right style="thin">
        <color indexed="9"/>
      </right>
      <top/>
      <bottom style="thin">
        <color indexed="64"/>
      </bottom>
      <diagonal/>
    </border>
    <border>
      <left/>
      <right/>
      <top style="thin">
        <color indexed="9"/>
      </top>
      <bottom/>
      <diagonal/>
    </border>
    <border>
      <left style="thin">
        <color indexed="64"/>
      </left>
      <right/>
      <top/>
      <bottom/>
      <diagonal/>
    </border>
    <border>
      <left style="thin">
        <color indexed="64"/>
      </left>
      <right style="thin">
        <color indexed="64"/>
      </right>
      <top/>
      <bottom/>
      <diagonal/>
    </border>
    <border>
      <left/>
      <right style="thin">
        <color indexed="9"/>
      </right>
      <top style="thin">
        <color indexed="64"/>
      </top>
      <bottom/>
      <diagonal/>
    </border>
    <border>
      <left/>
      <right style="thin">
        <color indexed="9"/>
      </right>
      <top style="thin">
        <color indexed="64"/>
      </top>
      <bottom style="thin">
        <color indexed="64"/>
      </bottom>
      <diagonal/>
    </border>
    <border>
      <left style="thin">
        <color indexed="9"/>
      </left>
      <right style="thin">
        <color indexed="9"/>
      </right>
      <top/>
      <bottom style="thin">
        <color indexed="64"/>
      </bottom>
      <diagonal/>
    </border>
    <border>
      <left/>
      <right style="thin">
        <color indexed="9"/>
      </right>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top style="medium">
        <color indexed="64"/>
      </top>
      <bottom style="thin">
        <color indexed="64"/>
      </bottom>
      <diagonal/>
    </border>
    <border>
      <left style="medium">
        <color indexed="64"/>
      </left>
      <right style="medium">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right style="medium">
        <color indexed="64"/>
      </right>
      <top style="thin">
        <color indexed="64"/>
      </top>
      <bottom/>
      <diagonal/>
    </border>
    <border>
      <left style="double">
        <color auto="1"/>
      </left>
      <right style="double">
        <color auto="1"/>
      </right>
      <top/>
      <bottom/>
      <diagonal/>
    </border>
  </borders>
  <cellStyleXfs count="51">
    <xf numFmtId="0" fontId="44" fillId="0" borderId="0"/>
    <xf numFmtId="0" fontId="44" fillId="7" borderId="0"/>
    <xf numFmtId="0" fontId="44" fillId="8" borderId="0"/>
    <xf numFmtId="0" fontId="44" fillId="9" borderId="0"/>
    <xf numFmtId="0" fontId="44" fillId="10" borderId="0"/>
    <xf numFmtId="0" fontId="44" fillId="11" borderId="0"/>
    <xf numFmtId="0" fontId="44" fillId="12" borderId="0"/>
    <xf numFmtId="0" fontId="44" fillId="13" borderId="0"/>
    <xf numFmtId="0" fontId="44" fillId="14" borderId="0"/>
    <xf numFmtId="0" fontId="44" fillId="15" borderId="0"/>
    <xf numFmtId="0" fontId="44" fillId="16" borderId="0"/>
    <xf numFmtId="0" fontId="44" fillId="17" borderId="0"/>
    <xf numFmtId="0" fontId="44" fillId="18" borderId="0"/>
    <xf numFmtId="0" fontId="45" fillId="19" borderId="0"/>
    <xf numFmtId="0" fontId="45" fillId="20" borderId="0"/>
    <xf numFmtId="0" fontId="45" fillId="21" borderId="0"/>
    <xf numFmtId="0" fontId="45" fillId="22" borderId="0"/>
    <xf numFmtId="0" fontId="45" fillId="23" borderId="0"/>
    <xf numFmtId="0" fontId="45" fillId="24" borderId="0"/>
    <xf numFmtId="0" fontId="45" fillId="25" borderId="0"/>
    <xf numFmtId="0" fontId="45" fillId="26" borderId="0"/>
    <xf numFmtId="0" fontId="45" fillId="27" borderId="0"/>
    <xf numFmtId="0" fontId="45" fillId="28" borderId="0"/>
    <xf numFmtId="0" fontId="45" fillId="29" borderId="0"/>
    <xf numFmtId="0" fontId="45" fillId="30" borderId="0"/>
    <xf numFmtId="0" fontId="46" fillId="31" borderId="0"/>
    <xf numFmtId="0" fontId="47" fillId="32" borderId="41"/>
    <xf numFmtId="0" fontId="48" fillId="33" borderId="42"/>
    <xf numFmtId="0" fontId="49" fillId="0" borderId="0"/>
    <xf numFmtId="0" fontId="50" fillId="34" borderId="0"/>
    <xf numFmtId="0" fontId="51" fillId="0" borderId="43"/>
    <xf numFmtId="0" fontId="52" fillId="0" borderId="44"/>
    <xf numFmtId="0" fontId="53" fillId="0" borderId="45"/>
    <xf numFmtId="0" fontId="53" fillId="0" borderId="0"/>
    <xf numFmtId="0" fontId="54" fillId="35" borderId="41"/>
    <xf numFmtId="0" fontId="55" fillId="0" borderId="46"/>
    <xf numFmtId="0" fontId="56" fillId="36" borderId="0"/>
    <xf numFmtId="0" fontId="2" fillId="0" borderId="0"/>
    <xf numFmtId="0" fontId="40" fillId="37" borderId="47"/>
    <xf numFmtId="0" fontId="40" fillId="37" borderId="47"/>
    <xf numFmtId="0" fontId="40" fillId="37" borderId="47"/>
    <xf numFmtId="0" fontId="40" fillId="37" borderId="47"/>
    <xf numFmtId="0" fontId="57" fillId="32" borderId="48"/>
    <xf numFmtId="9" fontId="40" fillId="0" borderId="0"/>
    <xf numFmtId="9" fontId="2" fillId="0" borderId="0"/>
    <xf numFmtId="9" fontId="40" fillId="0" borderId="0"/>
    <xf numFmtId="9" fontId="40" fillId="0" borderId="0"/>
    <xf numFmtId="9" fontId="40" fillId="0" borderId="0"/>
    <xf numFmtId="0" fontId="58" fillId="0" borderId="0"/>
    <xf numFmtId="0" fontId="59" fillId="0" borderId="49"/>
    <xf numFmtId="0" fontId="60" fillId="0" borderId="0"/>
  </cellStyleXfs>
  <cellXfs count="551">
    <xf numFmtId="0" fontId="0" fillId="0" borderId="0" pivotButton="0" quotePrefix="0" xfId="0"/>
    <xf numFmtId="0" fontId="2" fillId="0" borderId="0" pivotButton="0" quotePrefix="0" xfId="37"/>
    <xf numFmtId="0" fontId="6" fillId="0" borderId="0" pivotButton="0" quotePrefix="0" xfId="37"/>
    <xf numFmtId="0" fontId="2" fillId="0" borderId="2" pivotButton="0" quotePrefix="0" xfId="37"/>
    <xf numFmtId="0" fontId="2" fillId="0" borderId="4" pivotButton="0" quotePrefix="0" xfId="37"/>
    <xf numFmtId="0" fontId="2" fillId="0" borderId="5" pivotButton="0" quotePrefix="0" xfId="37"/>
    <xf numFmtId="0" fontId="8" fillId="0" borderId="0" pivotButton="0" quotePrefix="0" xfId="37"/>
    <xf numFmtId="14" fontId="2" fillId="0" borderId="0" applyAlignment="1" pivotButton="0" quotePrefix="0" xfId="37">
      <alignment horizontal="center"/>
    </xf>
    <xf numFmtId="0" fontId="2" fillId="0" borderId="0" applyAlignment="1" pivotButton="0" quotePrefix="0" xfId="37">
      <alignment horizontal="center"/>
    </xf>
    <xf numFmtId="0" fontId="18" fillId="0" borderId="0" applyAlignment="1" pivotButton="0" quotePrefix="0" xfId="37">
      <alignment horizontal="center"/>
    </xf>
    <xf numFmtId="0" fontId="2" fillId="0" borderId="0" applyAlignment="1" pivotButton="0" quotePrefix="0" xfId="37">
      <alignment horizontal="left"/>
    </xf>
    <xf numFmtId="0" fontId="18" fillId="0" borderId="0" pivotButton="0" quotePrefix="0" xfId="37"/>
    <xf numFmtId="0" fontId="2" fillId="0" borderId="6" pivotButton="0" quotePrefix="0" xfId="37"/>
    <xf numFmtId="0" fontId="2" fillId="0" borderId="7" pivotButton="0" quotePrefix="0" xfId="37"/>
    <xf numFmtId="0" fontId="2" fillId="0" borderId="8" pivotButton="0" quotePrefix="0" xfId="37"/>
    <xf numFmtId="0" fontId="3" fillId="0" borderId="1" applyAlignment="1" pivotButton="0" quotePrefix="0" xfId="37">
      <alignment wrapText="1"/>
    </xf>
    <xf numFmtId="0" fontId="2" fillId="0" borderId="3" pivotButton="0" quotePrefix="0" xfId="37"/>
    <xf numFmtId="0" fontId="10" fillId="0" borderId="4" pivotButton="0" quotePrefix="0" xfId="37"/>
    <xf numFmtId="0" fontId="10" fillId="0" borderId="0" pivotButton="0" quotePrefix="0" xfId="37"/>
    <xf numFmtId="0" fontId="10" fillId="0" borderId="5" pivotButton="0" quotePrefix="0" xfId="37"/>
    <xf numFmtId="0" fontId="12" fillId="0" borderId="0" pivotButton="0" quotePrefix="0" xfId="37"/>
    <xf numFmtId="0" fontId="7" fillId="0" borderId="0" pivotButton="0" quotePrefix="0" xfId="37"/>
    <xf numFmtId="0" fontId="7" fillId="0" borderId="0" applyAlignment="1" pivotButton="0" quotePrefix="0" xfId="37">
      <alignment horizontal="left"/>
    </xf>
    <xf numFmtId="0" fontId="13" fillId="0" borderId="4" pivotButton="0" quotePrefix="0" xfId="37"/>
    <xf numFmtId="0" fontId="13" fillId="0" borderId="4" applyAlignment="1" pivotButton="0" quotePrefix="0" xfId="37">
      <alignment horizontal="left" vertical="center"/>
    </xf>
    <xf numFmtId="0" fontId="15" fillId="0" borderId="0" pivotButton="0" quotePrefix="0" xfId="37"/>
    <xf numFmtId="0" fontId="9" fillId="0" borderId="0" pivotButton="0" quotePrefix="0" xfId="37"/>
    <xf numFmtId="2" fontId="7" fillId="0" borderId="0" pivotButton="0" quotePrefix="0" xfId="37"/>
    <xf numFmtId="0" fontId="16" fillId="0" borderId="4" applyAlignment="1" pivotButton="0" quotePrefix="0" xfId="37">
      <alignment vertical="center" wrapText="1"/>
    </xf>
    <xf numFmtId="0" fontId="17" fillId="0" borderId="4" pivotButton="0" quotePrefix="0" xfId="37"/>
    <xf numFmtId="164" fontId="22" fillId="2" borderId="9" applyAlignment="1" pivotButton="0" quotePrefix="0" xfId="37">
      <alignment horizontal="center"/>
    </xf>
    <xf numFmtId="2" fontId="22" fillId="2" borderId="9" applyAlignment="1" pivotButton="0" quotePrefix="0" xfId="37">
      <alignment horizontal="center"/>
    </xf>
    <xf numFmtId="2" fontId="20" fillId="3" borderId="9" applyAlignment="1" pivotButton="0" quotePrefix="0" xfId="37">
      <alignment horizontal="center" vertical="center" wrapText="1"/>
    </xf>
    <xf numFmtId="2" fontId="18" fillId="0" borderId="0" applyAlignment="1" pivotButton="0" quotePrefix="0" xfId="37">
      <alignment horizontal="left"/>
    </xf>
    <xf numFmtId="0" fontId="11" fillId="0" borderId="0" applyAlignment="1" pivotButton="0" quotePrefix="0" xfId="37">
      <alignment horizontal="center"/>
    </xf>
    <xf numFmtId="0" fontId="2" fillId="0" borderId="0" applyAlignment="1" pivotButton="0" quotePrefix="0" xfId="37">
      <alignment horizontal="right"/>
    </xf>
    <xf numFmtId="0" fontId="6" fillId="0" borderId="4" pivotButton="0" quotePrefix="0" xfId="37"/>
    <xf numFmtId="0" fontId="6" fillId="0" borderId="5" pivotButton="0" quotePrefix="0" xfId="37"/>
    <xf numFmtId="2" fontId="2" fillId="0" borderId="0" pivotButton="0" quotePrefix="0" xfId="37"/>
    <xf numFmtId="0" fontId="2" fillId="0" borderId="5" applyAlignment="1" pivotButton="0" quotePrefix="0" xfId="37">
      <alignment horizontal="center" wrapText="1"/>
    </xf>
    <xf numFmtId="0" fontId="0" fillId="0" borderId="5" pivotButton="0" quotePrefix="0" xfId="0"/>
    <xf numFmtId="0" fontId="2" fillId="0" borderId="0" applyAlignment="1" pivotButton="0" quotePrefix="0" xfId="37">
      <alignment wrapText="1"/>
    </xf>
    <xf numFmtId="0" fontId="14" fillId="0" borderId="0" applyAlignment="1" pivotButton="0" quotePrefix="0" xfId="37">
      <alignment horizontal="left"/>
    </xf>
    <xf numFmtId="0" fontId="7" fillId="0" borderId="0" applyAlignment="1" pivotButton="0" quotePrefix="0" xfId="37">
      <alignment horizontal="center"/>
    </xf>
    <xf numFmtId="0" fontId="7" fillId="0" borderId="0" applyAlignment="1" applyProtection="1" pivotButton="0" quotePrefix="0" xfId="37">
      <alignment horizontal="left"/>
      <protection locked="0" hidden="0"/>
    </xf>
    <xf numFmtId="0" fontId="2" fillId="0" borderId="10" applyAlignment="1" pivotButton="0" quotePrefix="0" xfId="37">
      <alignment horizontal="center" wrapText="1"/>
    </xf>
    <xf numFmtId="0" fontId="2" fillId="0" borderId="11" applyAlignment="1" pivotButton="0" quotePrefix="0" xfId="37">
      <alignment horizontal="center" wrapText="1"/>
    </xf>
    <xf numFmtId="0" fontId="2" fillId="0" borderId="12" applyAlignment="1" pivotButton="0" quotePrefix="0" xfId="37">
      <alignment horizontal="center" wrapText="1"/>
    </xf>
    <xf numFmtId="0" fontId="2" fillId="0" borderId="13" applyAlignment="1" pivotButton="0" quotePrefix="0" xfId="37">
      <alignment horizontal="center" wrapText="1"/>
    </xf>
    <xf numFmtId="0" fontId="6" fillId="0" borderId="0" applyAlignment="1" pivotButton="0" quotePrefix="0" xfId="37">
      <alignment horizontal="center"/>
    </xf>
    <xf numFmtId="0" fontId="6" fillId="0" borderId="0" applyAlignment="1" pivotButton="0" quotePrefix="0" xfId="37">
      <alignment horizontal="left"/>
    </xf>
    <xf numFmtId="0" fontId="7" fillId="0" borderId="0" applyProtection="1" pivotButton="0" quotePrefix="0" xfId="37">
      <protection locked="0" hidden="0"/>
    </xf>
    <xf numFmtId="0" fontId="7" fillId="0" borderId="0" applyAlignment="1" applyProtection="1" pivotButton="0" quotePrefix="0" xfId="37">
      <alignment horizontal="center"/>
      <protection locked="0" hidden="0"/>
    </xf>
    <xf numFmtId="0" fontId="2" fillId="0" borderId="0" applyProtection="1" pivotButton="0" quotePrefix="0" xfId="37">
      <protection locked="0" hidden="0"/>
    </xf>
    <xf numFmtId="10" fontId="7" fillId="0" borderId="0" applyAlignment="1" applyProtection="1" pivotButton="0" quotePrefix="0" xfId="37">
      <alignment horizontal="center"/>
      <protection locked="0" hidden="0"/>
    </xf>
    <xf numFmtId="0" fontId="0" fillId="0" borderId="0" applyProtection="1" pivotButton="0" quotePrefix="0" xfId="0">
      <protection locked="0" hidden="0"/>
    </xf>
    <xf numFmtId="0" fontId="20" fillId="3" borderId="9" applyAlignment="1" pivotButton="0" quotePrefix="0" xfId="37">
      <alignment horizontal="center" vertical="center" wrapText="1"/>
    </xf>
    <xf numFmtId="0" fontId="2" fillId="0" borderId="0" applyAlignment="1" applyProtection="1" pivotButton="0" quotePrefix="0" xfId="37">
      <alignment horizontal="center"/>
      <protection locked="0" hidden="0"/>
    </xf>
    <xf numFmtId="49" fontId="2" fillId="0" borderId="0" applyAlignment="1" applyProtection="1" pivotButton="0" quotePrefix="0" xfId="37">
      <alignment horizontal="center"/>
      <protection locked="0" hidden="0"/>
    </xf>
    <xf numFmtId="0" fontId="2" fillId="0" borderId="5" applyProtection="1" pivotButton="0" quotePrefix="0" xfId="37">
      <protection locked="0" hidden="0"/>
    </xf>
    <xf numFmtId="0" fontId="18" fillId="0" borderId="0" applyProtection="1" pivotButton="0" quotePrefix="0" xfId="37">
      <protection locked="0" hidden="0"/>
    </xf>
    <xf numFmtId="0" fontId="0" fillId="0" borderId="0" applyAlignment="1" applyProtection="1" pivotButton="0" quotePrefix="0" xfId="0">
      <alignment wrapText="1"/>
      <protection locked="0" hidden="0"/>
    </xf>
    <xf numFmtId="49" fontId="28" fillId="0" borderId="5" applyAlignment="1" applyProtection="1" pivotButton="0" quotePrefix="0" xfId="37">
      <alignment wrapText="1"/>
      <protection locked="0" hidden="0"/>
    </xf>
    <xf numFmtId="10" fontId="2" fillId="0" borderId="0" applyAlignment="1" applyProtection="1" pivotButton="0" quotePrefix="0" xfId="37">
      <alignment horizontal="center"/>
      <protection locked="0" hidden="0"/>
    </xf>
    <xf numFmtId="0" fontId="2" fillId="0" borderId="0" applyAlignment="1" applyProtection="1" pivotButton="0" quotePrefix="0" xfId="37">
      <alignment horizontal="right"/>
      <protection locked="0" hidden="0"/>
    </xf>
    <xf numFmtId="0" fontId="0" fillId="0" borderId="0" applyAlignment="1" applyProtection="1" pivotButton="0" quotePrefix="0" xfId="0">
      <alignment horizontal="center"/>
      <protection locked="0" hidden="0"/>
    </xf>
    <xf numFmtId="0" fontId="0" fillId="0" borderId="14" pivotButton="0" quotePrefix="0" xfId="0"/>
    <xf numFmtId="0" fontId="2" fillId="0" borderId="14" pivotButton="0" quotePrefix="0" xfId="37"/>
    <xf numFmtId="0" fontId="41" fillId="0" borderId="14" applyAlignment="1" pivotButton="0" quotePrefix="0" xfId="37">
      <alignment horizontal="left"/>
    </xf>
    <xf numFmtId="2" fontId="2" fillId="0" borderId="14" applyAlignment="1" pivotButton="0" quotePrefix="0" xfId="37">
      <alignment horizontal="left"/>
    </xf>
    <xf numFmtId="0" fontId="36" fillId="0" borderId="14" applyAlignment="1" pivotButton="0" quotePrefix="0" xfId="37">
      <alignment horizontal="left"/>
    </xf>
    <xf numFmtId="0" fontId="5" fillId="0" borderId="14" applyAlignment="1" pivotButton="0" quotePrefix="0" xfId="37">
      <alignment horizontal="left"/>
    </xf>
    <xf numFmtId="0" fontId="3" fillId="0" borderId="14" applyAlignment="1" pivotButton="0" quotePrefix="0" xfId="37">
      <alignment horizontal="left"/>
    </xf>
    <xf numFmtId="2" fontId="20" fillId="0" borderId="14" applyAlignment="1" pivotButton="0" quotePrefix="0" xfId="37">
      <alignment horizontal="center" vertical="center" wrapText="1"/>
    </xf>
    <xf numFmtId="164" fontId="22" fillId="0" borderId="14" applyAlignment="1" pivotButton="0" quotePrefix="0" xfId="37">
      <alignment horizontal="center"/>
    </xf>
    <xf numFmtId="2" fontId="3" fillId="0" borderId="14" applyAlignment="1" pivotButton="0" quotePrefix="0" xfId="37">
      <alignment horizontal="center"/>
    </xf>
    <xf numFmtId="2" fontId="2" fillId="0" borderId="14" applyAlignment="1" pivotButton="0" quotePrefix="0" xfId="37">
      <alignment horizontal="center"/>
    </xf>
    <xf numFmtId="0" fontId="2" fillId="0" borderId="14" applyAlignment="1" pivotButton="0" quotePrefix="0" xfId="37">
      <alignment horizontal="left"/>
    </xf>
    <xf numFmtId="0" fontId="2" fillId="0" borderId="16" applyAlignment="1" pivotButton="0" quotePrefix="0" xfId="37">
      <alignment horizontal="left"/>
    </xf>
    <xf numFmtId="2" fontId="2" fillId="0" borderId="16" applyAlignment="1" pivotButton="0" quotePrefix="0" xfId="37">
      <alignment horizontal="center"/>
    </xf>
    <xf numFmtId="0" fontId="3" fillId="0" borderId="17" applyAlignment="1" pivotButton="0" quotePrefix="0" xfId="37">
      <alignment horizontal="left"/>
    </xf>
    <xf numFmtId="0" fontId="36" fillId="0" borderId="17" applyAlignment="1" pivotButton="0" quotePrefix="0" xfId="37">
      <alignment horizontal="left"/>
    </xf>
    <xf numFmtId="0" fontId="3" fillId="0" borderId="9" applyAlignment="1" pivotButton="0" quotePrefix="0" xfId="37">
      <alignment horizontal="right"/>
    </xf>
    <xf numFmtId="0" fontId="3" fillId="0" borderId="9" applyAlignment="1" pivotButton="0" quotePrefix="0" xfId="37">
      <alignment horizontal="left"/>
    </xf>
    <xf numFmtId="0" fontId="3" fillId="5" borderId="9" applyAlignment="1" pivotButton="0" quotePrefix="0" xfId="37">
      <alignment horizontal="center"/>
    </xf>
    <xf numFmtId="0" fontId="20" fillId="3" borderId="19" applyAlignment="1" pivotButton="0" quotePrefix="0" xfId="37">
      <alignment horizontal="center" vertical="center" wrapText="1"/>
    </xf>
    <xf numFmtId="0" fontId="21" fillId="0" borderId="14" applyAlignment="1" pivotButton="0" quotePrefix="0" xfId="37">
      <alignment horizontal="left"/>
    </xf>
    <xf numFmtId="0" fontId="3" fillId="0" borderId="14" applyAlignment="1" pivotButton="0" quotePrefix="0" xfId="37">
      <alignment horizontal="right"/>
    </xf>
    <xf numFmtId="0" fontId="35" fillId="0" borderId="14" applyAlignment="1" pivotButton="0" quotePrefix="0" xfId="37">
      <alignment horizontal="right"/>
    </xf>
    <xf numFmtId="0" fontId="3" fillId="0" borderId="14" applyAlignment="1" pivotButton="0" quotePrefix="0" xfId="37">
      <alignment horizontal="center"/>
    </xf>
    <xf numFmtId="0" fontId="3" fillId="0" borderId="14" pivotButton="0" quotePrefix="0" xfId="37"/>
    <xf numFmtId="0" fontId="2" fillId="0" borderId="17" applyAlignment="1" pivotButton="0" quotePrefix="0" xfId="37">
      <alignment horizontal="left"/>
    </xf>
    <xf numFmtId="2" fontId="2" fillId="0" borderId="17" applyAlignment="1" pivotButton="0" quotePrefix="0" xfId="37">
      <alignment horizontal="left"/>
    </xf>
    <xf numFmtId="0" fontId="2" fillId="0" borderId="17" pivotButton="0" quotePrefix="0" xfId="37"/>
    <xf numFmtId="164" fontId="22" fillId="0" borderId="20" applyAlignment="1" pivotButton="0" quotePrefix="0" xfId="37">
      <alignment horizontal="center"/>
    </xf>
    <xf numFmtId="0" fontId="2" fillId="0" borderId="15" pivotButton="0" quotePrefix="0" xfId="37"/>
    <xf numFmtId="0" fontId="5" fillId="0" borderId="17" applyAlignment="1" pivotButton="0" quotePrefix="0" xfId="37">
      <alignment horizontal="left"/>
    </xf>
    <xf numFmtId="0" fontId="35" fillId="0" borderId="17" applyAlignment="1" pivotButton="0" quotePrefix="0" xfId="37">
      <alignment horizontal="right"/>
    </xf>
    <xf numFmtId="0" fontId="3" fillId="0" borderId="17" applyAlignment="1" pivotButton="0" quotePrefix="0" xfId="37">
      <alignment horizontal="center"/>
    </xf>
    <xf numFmtId="0" fontId="5" fillId="0" borderId="16" applyAlignment="1" pivotButton="0" quotePrefix="0" xfId="37">
      <alignment horizontal="left"/>
    </xf>
    <xf numFmtId="0" fontId="35" fillId="0" borderId="16" applyAlignment="1" pivotButton="0" quotePrefix="0" xfId="37">
      <alignment horizontal="right"/>
    </xf>
    <xf numFmtId="0" fontId="3" fillId="0" borderId="22" applyAlignment="1" pivotButton="0" quotePrefix="0" xfId="37">
      <alignment horizontal="left"/>
    </xf>
    <xf numFmtId="2" fontId="3" fillId="0" borderId="15" applyAlignment="1" pivotButton="0" quotePrefix="0" xfId="37">
      <alignment horizontal="center"/>
    </xf>
    <xf numFmtId="2" fontId="2" fillId="0" borderId="15" applyAlignment="1" pivotButton="0" quotePrefix="0" xfId="37">
      <alignment horizontal="left"/>
    </xf>
    <xf numFmtId="2" fontId="3" fillId="0" borderId="20" applyAlignment="1" pivotButton="0" quotePrefix="0" xfId="37">
      <alignment horizontal="center"/>
    </xf>
    <xf numFmtId="164" fontId="22" fillId="0" borderId="17" applyAlignment="1" pivotButton="0" quotePrefix="0" xfId="37">
      <alignment horizontal="center"/>
    </xf>
    <xf numFmtId="0" fontId="2" fillId="0" borderId="23" applyAlignment="1" pivotButton="0" quotePrefix="0" xfId="37">
      <alignment horizontal="left"/>
    </xf>
    <xf numFmtId="0" fontId="3" fillId="0" borderId="24" applyAlignment="1" pivotButton="0" quotePrefix="0" xfId="37">
      <alignment horizontal="left"/>
    </xf>
    <xf numFmtId="2" fontId="20" fillId="0" borderId="18" applyAlignment="1" pivotButton="0" quotePrefix="0" xfId="37">
      <alignment horizontal="center" vertical="center" wrapText="1"/>
    </xf>
    <xf numFmtId="165" fontId="22" fillId="2" borderId="9" applyAlignment="1" pivotButton="0" quotePrefix="0" xfId="37">
      <alignment horizontal="center"/>
    </xf>
    <xf numFmtId="165" fontId="2" fillId="0" borderId="25" applyAlignment="1" pivotButton="0" quotePrefix="0" xfId="37">
      <alignment horizontal="center" wrapText="1"/>
    </xf>
    <xf numFmtId="165" fontId="2" fillId="0" borderId="26" applyAlignment="1" pivotButton="0" quotePrefix="0" xfId="37">
      <alignment horizontal="center" wrapText="1"/>
    </xf>
    <xf numFmtId="166" fontId="22" fillId="2" borderId="9" applyAlignment="1" pivotButton="0" quotePrefix="0" xfId="43">
      <alignment horizontal="center"/>
    </xf>
    <xf numFmtId="0" fontId="3" fillId="6" borderId="9" applyAlignment="1" pivotButton="0" quotePrefix="0" xfId="37">
      <alignment horizontal="center"/>
    </xf>
    <xf numFmtId="2" fontId="3" fillId="6" borderId="9" applyAlignment="1" pivotButton="0" quotePrefix="0" xfId="37">
      <alignment horizontal="center"/>
    </xf>
    <xf numFmtId="0" fontId="43" fillId="0" borderId="14" applyAlignment="1" applyProtection="1" pivotButton="0" quotePrefix="0" xfId="37">
      <alignment horizontal="left"/>
      <protection locked="0" hidden="0"/>
    </xf>
    <xf numFmtId="0" fontId="3" fillId="0" borderId="27" applyAlignment="1" pivotButton="0" quotePrefix="0" xfId="37">
      <alignment horizontal="center"/>
    </xf>
    <xf numFmtId="0" fontId="21" fillId="0" borderId="14" applyAlignment="1" pivotButton="0" quotePrefix="0" xfId="37">
      <alignment horizontal="center" vertical="center"/>
    </xf>
    <xf numFmtId="2" fontId="4" fillId="0" borderId="14" applyAlignment="1" pivotButton="0" quotePrefix="0" xfId="37">
      <alignment horizontal="center" vertical="center" wrapText="1"/>
    </xf>
    <xf numFmtId="10" fontId="2" fillId="0" borderId="14" pivotButton="0" quotePrefix="0" xfId="43"/>
    <xf numFmtId="10" fontId="2" fillId="0" borderId="9" applyAlignment="1" pivotButton="0" quotePrefix="0" xfId="43">
      <alignment horizontal="right"/>
    </xf>
    <xf numFmtId="0" fontId="2" fillId="0" borderId="9" pivotButton="0" quotePrefix="0" xfId="37"/>
    <xf numFmtId="0" fontId="2" fillId="0" borderId="9" applyAlignment="1" pivotButton="0" quotePrefix="0" xfId="37">
      <alignment horizontal="center"/>
    </xf>
    <xf numFmtId="0" fontId="2" fillId="5" borderId="9" pivotButton="0" quotePrefix="0" xfId="37"/>
    <xf numFmtId="0" fontId="2" fillId="5" borderId="28" pivotButton="0" quotePrefix="0" xfId="37"/>
    <xf numFmtId="164" fontId="2" fillId="5" borderId="9" applyAlignment="1" pivotButton="0" quotePrefix="0" xfId="37">
      <alignment horizontal="right"/>
    </xf>
    <xf numFmtId="164" fontId="2" fillId="5" borderId="9" pivotButton="0" quotePrefix="0" xfId="37"/>
    <xf numFmtId="2" fontId="2" fillId="5" borderId="9" applyAlignment="1" pivotButton="0" quotePrefix="0" xfId="37">
      <alignment horizontal="right"/>
    </xf>
    <xf numFmtId="2" fontId="2" fillId="5" borderId="9" applyAlignment="1" pivotButton="0" quotePrefix="0" xfId="37">
      <alignment horizontal="center"/>
    </xf>
    <xf numFmtId="2" fontId="2" fillId="0" borderId="0" applyAlignment="1" pivotButton="0" quotePrefix="0" xfId="37">
      <alignment horizontal="center"/>
    </xf>
    <xf numFmtId="0" fontId="2" fillId="5" borderId="9" applyAlignment="1" pivotButton="0" quotePrefix="0" xfId="37">
      <alignment horizontal="left"/>
    </xf>
    <xf numFmtId="0" fontId="2" fillId="5" borderId="28" applyAlignment="1" pivotButton="0" quotePrefix="0" xfId="37">
      <alignment horizontal="left"/>
    </xf>
    <xf numFmtId="167" fontId="2" fillId="5" borderId="9" applyAlignment="1" pivotButton="0" quotePrefix="0" xfId="37">
      <alignment horizontal="right"/>
    </xf>
    <xf numFmtId="167" fontId="2" fillId="5" borderId="9" applyAlignment="1" pivotButton="0" quotePrefix="0" xfId="37">
      <alignment horizontal="center"/>
    </xf>
    <xf numFmtId="0" fontId="2" fillId="0" borderId="9" applyAlignment="1" pivotButton="0" quotePrefix="0" xfId="37">
      <alignment horizontal="left"/>
    </xf>
    <xf numFmtId="2" fontId="2" fillId="0" borderId="9" applyAlignment="1" pivotButton="0" quotePrefix="0" xfId="37">
      <alignment horizontal="center"/>
    </xf>
    <xf numFmtId="2" fontId="2" fillId="5" borderId="28" applyAlignment="1" pivotButton="0" quotePrefix="0" xfId="37">
      <alignment horizontal="left"/>
    </xf>
    <xf numFmtId="0" fontId="2" fillId="0" borderId="9" applyAlignment="1" pivotButton="0" quotePrefix="0" xfId="37">
      <alignment horizontal="center" vertical="center"/>
    </xf>
    <xf numFmtId="164" fontId="2" fillId="0" borderId="9" applyAlignment="1" pivotButton="0" quotePrefix="0" xfId="37">
      <alignment horizontal="center" vertical="center"/>
    </xf>
    <xf numFmtId="10" fontId="2" fillId="0" borderId="9" applyAlignment="1" pivotButton="0" quotePrefix="0" xfId="43">
      <alignment horizontal="center" vertical="center"/>
    </xf>
    <xf numFmtId="1" fontId="2" fillId="0" borderId="9" applyAlignment="1" pivotButton="0" quotePrefix="0" xfId="37">
      <alignment horizontal="center" vertical="center"/>
    </xf>
    <xf numFmtId="164" fontId="2" fillId="5" borderId="28" applyAlignment="1" pivotButton="0" quotePrefix="0" xfId="37">
      <alignment horizontal="left"/>
    </xf>
    <xf numFmtId="0" fontId="2" fillId="5" borderId="0" applyAlignment="1" pivotButton="0" quotePrefix="0" xfId="37">
      <alignment horizontal="left"/>
    </xf>
    <xf numFmtId="164" fontId="2" fillId="5" borderId="0" applyAlignment="1" pivotButton="0" quotePrefix="0" xfId="37">
      <alignment horizontal="left"/>
    </xf>
    <xf numFmtId="0" fontId="2" fillId="0" borderId="31" applyAlignment="1" pivotButton="0" quotePrefix="0" xfId="37">
      <alignment horizontal="left"/>
    </xf>
    <xf numFmtId="0" fontId="2" fillId="0" borderId="32" applyAlignment="1" pivotButton="0" quotePrefix="0" xfId="37">
      <alignment horizontal="left"/>
    </xf>
    <xf numFmtId="0" fontId="2" fillId="0" borderId="32" pivotButton="0" quotePrefix="0" xfId="37"/>
    <xf numFmtId="0" fontId="2" fillId="38" borderId="15" pivotButton="0" quotePrefix="0" xfId="37"/>
    <xf numFmtId="0" fontId="2" fillId="38" borderId="14" applyAlignment="1" pivotButton="0" quotePrefix="0" xfId="37">
      <alignment horizontal="center"/>
    </xf>
    <xf numFmtId="0" fontId="0" fillId="38" borderId="0" pivotButton="0" quotePrefix="0" xfId="0"/>
    <xf numFmtId="164" fontId="22" fillId="38" borderId="14" applyAlignment="1" pivotButton="0" quotePrefix="0" xfId="37">
      <alignment horizontal="center"/>
    </xf>
    <xf numFmtId="0" fontId="2" fillId="38" borderId="14" pivotButton="0" quotePrefix="0" xfId="37"/>
    <xf numFmtId="164" fontId="35" fillId="4" borderId="9" applyAlignment="1" applyProtection="1" pivotButton="0" quotePrefix="0" xfId="37">
      <alignment horizontal="center" vertical="center" wrapText="1"/>
      <protection locked="0" hidden="0"/>
    </xf>
    <xf numFmtId="0" fontId="2" fillId="0" borderId="0" applyAlignment="1" applyProtection="1" pivotButton="0" quotePrefix="0" xfId="37">
      <alignment horizontal="left"/>
      <protection locked="0" hidden="0"/>
    </xf>
    <xf numFmtId="0" fontId="0" fillId="0" borderId="0" applyAlignment="1" applyProtection="1" pivotButton="0" quotePrefix="0" xfId="0">
      <alignment horizontal="left"/>
      <protection locked="0" hidden="0"/>
    </xf>
    <xf numFmtId="20" fontId="0" fillId="0" borderId="0" applyAlignment="1" pivotButton="0" quotePrefix="0" xfId="0">
      <alignment horizontal="left"/>
    </xf>
    <xf numFmtId="15" fontId="2" fillId="0" borderId="0" applyAlignment="1" pivotButton="0" quotePrefix="0" xfId="37">
      <alignment horizontal="left"/>
    </xf>
    <xf numFmtId="15" fontId="2" fillId="0" borderId="0" applyAlignment="1" applyProtection="1" pivotButton="0" quotePrefix="0" xfId="37">
      <alignment horizontal="left"/>
      <protection locked="0" hidden="0"/>
    </xf>
    <xf numFmtId="0" fontId="36" fillId="0" borderId="17" applyAlignment="1" pivotButton="0" quotePrefix="0" xfId="37">
      <alignment horizontal="right" vertical="center"/>
    </xf>
    <xf numFmtId="0" fontId="3" fillId="4" borderId="9" applyAlignment="1" applyProtection="1" pivotButton="0" quotePrefix="0" xfId="37">
      <alignment horizontal="center" vertical="center"/>
      <protection locked="0" hidden="0"/>
    </xf>
    <xf numFmtId="0" fontId="36" fillId="0" borderId="52" applyAlignment="1" pivotButton="0" quotePrefix="0" xfId="37">
      <alignment horizontal="right" vertical="center"/>
    </xf>
    <xf numFmtId="0" fontId="36" fillId="0" borderId="50" applyAlignment="1" pivotButton="0" quotePrefix="0" xfId="37">
      <alignment horizontal="right" vertical="center"/>
    </xf>
    <xf numFmtId="0" fontId="2" fillId="0" borderId="14" applyAlignment="1" pivotButton="0" quotePrefix="0" xfId="37">
      <alignment vertical="center"/>
    </xf>
    <xf numFmtId="0" fontId="3" fillId="6" borderId="9" applyAlignment="1" applyProtection="1" pivotButton="0" quotePrefix="0" xfId="37">
      <alignment horizontal="center"/>
      <protection locked="0" hidden="0"/>
    </xf>
    <xf numFmtId="2" fontId="22" fillId="2" borderId="9" applyAlignment="1" applyProtection="1" pivotButton="0" quotePrefix="0" xfId="37">
      <alignment horizontal="center"/>
      <protection locked="0" hidden="0"/>
    </xf>
    <xf numFmtId="2" fontId="3" fillId="6" borderId="9" applyAlignment="1" applyProtection="1" pivotButton="0" quotePrefix="0" xfId="37">
      <alignment horizontal="center"/>
      <protection locked="0" hidden="0"/>
    </xf>
    <xf numFmtId="0" fontId="0" fillId="0" borderId="0" applyAlignment="1" pivotButton="0" quotePrefix="0" xfId="0">
      <alignment horizontal="left"/>
    </xf>
    <xf numFmtId="2" fontId="3" fillId="4" borderId="9" applyAlignment="1" applyProtection="1" pivotButton="0" quotePrefix="0" xfId="37">
      <alignment horizontal="center" vertical="center"/>
      <protection locked="0" hidden="0"/>
    </xf>
    <xf numFmtId="49" fontId="3" fillId="0" borderId="14" applyAlignment="1" pivotButton="0" quotePrefix="0" xfId="37">
      <alignment horizontal="left"/>
    </xf>
    <xf numFmtId="49" fontId="0" fillId="0" borderId="0" pivotButton="0" quotePrefix="0" xfId="0"/>
    <xf numFmtId="0" fontId="6" fillId="0" borderId="14" pivotButton="0" quotePrefix="0" xfId="37"/>
    <xf numFmtId="0" fontId="2" fillId="0" borderId="18" pivotButton="0" quotePrefix="0" xfId="37"/>
    <xf numFmtId="0" fontId="8" fillId="0" borderId="14" applyAlignment="1" pivotButton="0" quotePrefix="0" xfId="37">
      <alignment horizontal="left"/>
    </xf>
    <xf numFmtId="0" fontId="8" fillId="0" borderId="16" applyAlignment="1" pivotButton="0" quotePrefix="0" xfId="37">
      <alignment horizontal="center" vertical="center"/>
    </xf>
    <xf numFmtId="0" fontId="6" fillId="0" borderId="18" pivotButton="0" quotePrefix="0" xfId="37"/>
    <xf numFmtId="0" fontId="59" fillId="0" borderId="18" pivotButton="0" quotePrefix="0" xfId="0"/>
    <xf numFmtId="0" fontId="0" fillId="0" borderId="18" pivotButton="0" quotePrefix="0" xfId="0"/>
    <xf numFmtId="0" fontId="6" fillId="0" borderId="18" applyAlignment="1" pivotButton="0" quotePrefix="0" xfId="37">
      <alignment horizontal="center"/>
    </xf>
    <xf numFmtId="2" fontId="2" fillId="0" borderId="54" applyAlignment="1" pivotButton="0" quotePrefix="0" xfId="37">
      <alignment horizontal="left"/>
    </xf>
    <xf numFmtId="0" fontId="21" fillId="0" borderId="18" applyAlignment="1" pivotButton="0" quotePrefix="0" xfId="37">
      <alignment horizontal="right"/>
    </xf>
    <xf numFmtId="0" fontId="21" fillId="0" borderId="55" applyAlignment="1" pivotButton="0" quotePrefix="0" xfId="37">
      <alignment horizontal="right"/>
    </xf>
    <xf numFmtId="2" fontId="20" fillId="0" borderId="55" applyAlignment="1" pivotButton="0" quotePrefix="0" xfId="37">
      <alignment horizontal="center" vertical="center" wrapText="1"/>
    </xf>
    <xf numFmtId="2" fontId="39" fillId="0" borderId="55" applyAlignment="1" pivotButton="0" quotePrefix="0" xfId="37">
      <alignment horizontal="center" vertical="center" wrapText="1"/>
    </xf>
    <xf numFmtId="164" fontId="22" fillId="0" borderId="55" applyAlignment="1" pivotButton="0" quotePrefix="0" xfId="37">
      <alignment horizontal="center"/>
    </xf>
    <xf numFmtId="2" fontId="2" fillId="0" borderId="55" applyAlignment="1" pivotButton="0" quotePrefix="0" xfId="37">
      <alignment horizontal="center"/>
    </xf>
    <xf numFmtId="2" fontId="2" fillId="0" borderId="18" applyAlignment="1" pivotButton="0" quotePrefix="0" xfId="37">
      <alignment horizontal="center"/>
    </xf>
    <xf numFmtId="0" fontId="4" fillId="39" borderId="53" applyAlignment="1" applyProtection="1" pivotButton="0" quotePrefix="0" xfId="37">
      <alignment horizontal="center" vertical="center"/>
      <protection locked="0" hidden="0"/>
    </xf>
    <xf numFmtId="0" fontId="4" fillId="40" borderId="9" applyAlignment="1" applyProtection="1" pivotButton="0" quotePrefix="0" xfId="37">
      <alignment horizontal="center" vertical="center"/>
      <protection locked="0" hidden="0"/>
    </xf>
    <xf numFmtId="49" fontId="31" fillId="0" borderId="5" applyAlignment="1" pivotButton="0" quotePrefix="0" xfId="37">
      <alignment horizontal="center" wrapText="1"/>
    </xf>
    <xf numFmtId="0" fontId="0" fillId="0" borderId="0" applyAlignment="1" pivotButton="0" quotePrefix="0" xfId="0">
      <alignment vertical="top"/>
    </xf>
    <xf numFmtId="164" fontId="2" fillId="0" borderId="9" pivotButton="0" quotePrefix="0" xfId="37"/>
    <xf numFmtId="10" fontId="2" fillId="0" borderId="9" applyAlignment="1" pivotButton="0" quotePrefix="0" xfId="46">
      <alignment horizontal="right"/>
    </xf>
    <xf numFmtId="0" fontId="35" fillId="4" borderId="9" applyAlignment="1" applyProtection="1" pivotButton="0" quotePrefix="0" xfId="37">
      <alignment horizontal="center" vertical="center" wrapText="1"/>
      <protection locked="0" hidden="0"/>
    </xf>
    <xf numFmtId="0" fontId="0" fillId="0" borderId="0" applyAlignment="1" pivotButton="0" quotePrefix="0" xfId="0">
      <alignment horizontal="left" vertical="top" wrapText="1"/>
    </xf>
    <xf numFmtId="0" fontId="35" fillId="0" borderId="9" pivotButton="0" quotePrefix="0" xfId="37"/>
    <xf numFmtId="49" fontId="2" fillId="0" borderId="0" pivotButton="0" quotePrefix="0" xfId="37"/>
    <xf numFmtId="0" fontId="0" fillId="0" borderId="56" pivotButton="0" quotePrefix="0" xfId="0"/>
    <xf numFmtId="0" fontId="2" fillId="38" borderId="2" pivotButton="0" quotePrefix="0" xfId="37"/>
    <xf numFmtId="0" fontId="2" fillId="38" borderId="4" pivotButton="0" quotePrefix="0" xfId="37"/>
    <xf numFmtId="0" fontId="25" fillId="41" borderId="9" applyAlignment="1" applyProtection="1" pivotButton="0" quotePrefix="0" xfId="37">
      <alignment horizontal="center" vertical="center" wrapText="1"/>
      <protection locked="0" hidden="0"/>
    </xf>
    <xf numFmtId="0" fontId="2" fillId="38" borderId="1" pivotButton="0" quotePrefix="0" xfId="37"/>
    <xf numFmtId="0" fontId="2" fillId="38" borderId="3" pivotButton="0" quotePrefix="0" xfId="37"/>
    <xf numFmtId="0" fontId="27" fillId="38" borderId="0" applyAlignment="1" pivotButton="0" quotePrefix="0" xfId="0">
      <alignment horizontal="center"/>
    </xf>
    <xf numFmtId="0" fontId="27" fillId="38" borderId="5" applyAlignment="1" pivotButton="0" quotePrefix="0" xfId="0">
      <alignment horizontal="center"/>
    </xf>
    <xf numFmtId="0" fontId="67" fillId="38" borderId="0" applyAlignment="1" pivotButton="0" quotePrefix="0" xfId="0">
      <alignment horizontal="center"/>
    </xf>
    <xf numFmtId="0" fontId="66" fillId="0" borderId="0" pivotButton="0" quotePrefix="0" xfId="0"/>
    <xf numFmtId="0" fontId="7" fillId="0" borderId="0" pivotButton="0" quotePrefix="0" xfId="0"/>
    <xf numFmtId="0" fontId="68" fillId="0" borderId="0" applyAlignment="1" pivotButton="0" quotePrefix="0" xfId="0">
      <alignment horizontal="center"/>
    </xf>
    <xf numFmtId="0" fontId="66" fillId="0" borderId="0" applyAlignment="1" applyProtection="1" pivotButton="0" quotePrefix="0" xfId="0">
      <alignment horizontal="center"/>
      <protection locked="0" hidden="0"/>
    </xf>
    <xf numFmtId="14" fontId="66" fillId="0" borderId="0" applyAlignment="1" applyProtection="1" pivotButton="0" quotePrefix="0" xfId="0">
      <alignment horizontal="center"/>
      <protection locked="0" hidden="0"/>
    </xf>
    <xf numFmtId="0" fontId="66" fillId="0" borderId="0" applyAlignment="1" pivotButton="0" quotePrefix="0" xfId="0">
      <alignment horizontal="center"/>
    </xf>
    <xf numFmtId="10" fontId="66" fillId="0" borderId="0" applyAlignment="1" pivotButton="0" quotePrefix="0" xfId="43">
      <alignment horizontal="center"/>
    </xf>
    <xf numFmtId="0" fontId="68" fillId="0" borderId="56" pivotButton="0" quotePrefix="0" xfId="0"/>
    <xf numFmtId="0" fontId="66" fillId="42" borderId="29" applyProtection="1" pivotButton="0" quotePrefix="0" xfId="0">
      <protection locked="0" hidden="0"/>
    </xf>
    <xf numFmtId="0" fontId="66" fillId="0" borderId="29" applyAlignment="1" pivotButton="0" quotePrefix="0" xfId="0">
      <alignment horizontal="right"/>
    </xf>
    <xf numFmtId="0" fontId="68" fillId="0" borderId="0" pivotButton="0" quotePrefix="0" xfId="0"/>
    <xf numFmtId="0" fontId="66" fillId="0" borderId="0" applyProtection="1" pivotButton="0" quotePrefix="0" xfId="0">
      <protection locked="0" hidden="0"/>
    </xf>
    <xf numFmtId="14" fontId="66" fillId="0" borderId="0" applyProtection="1" pivotButton="0" quotePrefix="0" xfId="0">
      <protection locked="0" hidden="0"/>
    </xf>
    <xf numFmtId="0" fontId="69" fillId="0" borderId="0" applyAlignment="1" pivotButton="0" quotePrefix="0" xfId="30">
      <alignment horizontal="center"/>
    </xf>
    <xf numFmtId="0" fontId="66" fillId="0" borderId="56" pivotButton="0" quotePrefix="0" xfId="0"/>
    <xf numFmtId="0" fontId="0" fillId="0" borderId="0" applyAlignment="1" pivotButton="0" quotePrefix="0" xfId="0">
      <alignment horizontal="center"/>
    </xf>
    <xf numFmtId="0" fontId="69" fillId="0" borderId="0" pivotButton="0" quotePrefix="0" xfId="30"/>
    <xf numFmtId="0" fontId="66" fillId="0" borderId="0" applyAlignment="1" pivotButton="0" quotePrefix="0" xfId="0">
      <alignment horizontal="right"/>
    </xf>
    <xf numFmtId="0" fontId="71" fillId="0" borderId="0" applyAlignment="1" pivotButton="0" quotePrefix="0" xfId="0">
      <alignment horizontal="center" vertical="top" wrapText="1"/>
    </xf>
    <xf numFmtId="0" fontId="72" fillId="0" borderId="0" applyAlignment="1" pivotButton="0" quotePrefix="0" xfId="0">
      <alignment horizontal="center" vertical="top" wrapText="1"/>
    </xf>
    <xf numFmtId="0" fontId="66" fillId="39" borderId="9" applyAlignment="1" applyProtection="1" pivotButton="0" quotePrefix="0" xfId="0">
      <alignment horizontal="center"/>
      <protection locked="0" hidden="0"/>
    </xf>
    <xf numFmtId="14" fontId="66" fillId="39" borderId="9" applyAlignment="1" applyProtection="1" pivotButton="0" quotePrefix="0" xfId="0">
      <alignment horizontal="center"/>
      <protection locked="0" hidden="0"/>
    </xf>
    <xf numFmtId="0" fontId="70" fillId="0" borderId="9" applyAlignment="1" pivotButton="0" quotePrefix="0" xfId="0">
      <alignment horizontal="center" vertical="top" wrapText="1"/>
    </xf>
    <xf numFmtId="0" fontId="68" fillId="0" borderId="9" applyAlignment="1" pivotButton="0" quotePrefix="0" xfId="0">
      <alignment horizontal="center"/>
    </xf>
    <xf numFmtId="0" fontId="66" fillId="43" borderId="28" applyProtection="1" pivotButton="0" quotePrefix="0" xfId="0">
      <protection locked="0" hidden="0"/>
    </xf>
    <xf numFmtId="0" fontId="66" fillId="43" borderId="29" applyProtection="1" pivotButton="0" quotePrefix="0" xfId="0">
      <protection locked="0" hidden="0"/>
    </xf>
    <xf numFmtId="0" fontId="66" fillId="43" borderId="30" applyProtection="1" pivotButton="0" quotePrefix="0" xfId="0">
      <protection locked="0" hidden="0"/>
    </xf>
    <xf numFmtId="0" fontId="11" fillId="0" borderId="0" pivotButton="0" quotePrefix="0" xfId="30"/>
    <xf numFmtId="2" fontId="66" fillId="39" borderId="9" applyAlignment="1" applyProtection="1" pivotButton="0" quotePrefix="0" xfId="0">
      <alignment horizontal="center"/>
      <protection locked="0" hidden="0"/>
    </xf>
    <xf numFmtId="10" fontId="73" fillId="0" borderId="0" pivotButton="0" quotePrefix="0" xfId="0"/>
    <xf numFmtId="0" fontId="66" fillId="39" borderId="29" applyAlignment="1" applyProtection="1" pivotButton="0" quotePrefix="0" xfId="0">
      <alignment horizontal="center"/>
      <protection locked="0" hidden="0"/>
    </xf>
    <xf numFmtId="14" fontId="66" fillId="39" borderId="29" applyAlignment="1" applyProtection="1" pivotButton="0" quotePrefix="0" xfId="0">
      <alignment horizontal="center"/>
      <protection locked="0" hidden="0"/>
    </xf>
    <xf numFmtId="0" fontId="66" fillId="43" borderId="9" applyAlignment="1" pivotButton="0" quotePrefix="0" xfId="0">
      <alignment horizontal="center"/>
    </xf>
    <xf numFmtId="2" fontId="66" fillId="0" borderId="0" applyAlignment="1" pivotButton="0" quotePrefix="0" xfId="0">
      <alignment horizontal="center"/>
    </xf>
    <xf numFmtId="0" fontId="9" fillId="0" borderId="0" applyAlignment="1" pivotButton="0" quotePrefix="0" xfId="37">
      <alignment vertical="top" wrapText="1"/>
    </xf>
    <xf numFmtId="0" fontId="7" fillId="0" borderId="0" applyAlignment="1" pivotButton="0" quotePrefix="0" xfId="37">
      <alignment horizontal="left" vertical="top" wrapText="1"/>
    </xf>
    <xf numFmtId="0" fontId="7" fillId="0" borderId="0" applyAlignment="1" applyProtection="1" pivotButton="0" quotePrefix="0" xfId="37">
      <alignment vertical="top" wrapText="1"/>
      <protection locked="0" hidden="0"/>
    </xf>
    <xf numFmtId="168" fontId="14" fillId="0" borderId="0" applyAlignment="1" pivotButton="0" quotePrefix="0" xfId="37">
      <alignment horizontal="left"/>
    </xf>
    <xf numFmtId="14" fontId="66" fillId="0" borderId="0" applyAlignment="1" pivotButton="0" quotePrefix="0" xfId="0">
      <alignment horizontal="center"/>
    </xf>
    <xf numFmtId="0" fontId="66" fillId="0" borderId="57" pivotButton="0" quotePrefix="0" xfId="0"/>
    <xf numFmtId="0" fontId="66" fillId="0" borderId="58" pivotButton="0" quotePrefix="0" xfId="0"/>
    <xf numFmtId="0" fontId="74" fillId="0" borderId="58" pivotButton="0" quotePrefix="0" xfId="0"/>
    <xf numFmtId="0" fontId="74" fillId="0" borderId="59" pivotButton="0" quotePrefix="0" xfId="0"/>
    <xf numFmtId="0" fontId="74" fillId="0" borderId="0" pivotButton="0" quotePrefix="0" xfId="0"/>
    <xf numFmtId="0" fontId="66" fillId="0" borderId="60" pivotButton="0" quotePrefix="0" xfId="0"/>
    <xf numFmtId="0" fontId="67" fillId="0" borderId="0" applyAlignment="1" pivotButton="0" quotePrefix="0" xfId="0">
      <alignment horizontal="center"/>
    </xf>
    <xf numFmtId="0" fontId="74" fillId="0" borderId="61" pivotButton="0" quotePrefix="0" xfId="0"/>
    <xf numFmtId="0" fontId="74" fillId="0" borderId="56" pivotButton="0" quotePrefix="0" xfId="0"/>
    <xf numFmtId="14" fontId="66" fillId="0" borderId="0" pivotButton="0" quotePrefix="0" xfId="0"/>
    <xf numFmtId="0" fontId="66" fillId="0" borderId="60" applyAlignment="1" pivotButton="0" quotePrefix="0" xfId="0">
      <alignment vertical="top"/>
    </xf>
    <xf numFmtId="0" fontId="70" fillId="0" borderId="56" applyAlignment="1" pivotButton="0" quotePrefix="0" xfId="0">
      <alignment vertical="top"/>
    </xf>
    <xf numFmtId="0" fontId="74" fillId="0" borderId="61" applyAlignment="1" pivotButton="0" quotePrefix="0" xfId="0">
      <alignment vertical="top"/>
    </xf>
    <xf numFmtId="0" fontId="74" fillId="0" borderId="0" applyAlignment="1" pivotButton="0" quotePrefix="0" xfId="0">
      <alignment vertical="top"/>
    </xf>
    <xf numFmtId="0" fontId="69" fillId="0" borderId="0" pivotButton="0" quotePrefix="0" xfId="30"/>
    <xf numFmtId="0" fontId="69" fillId="0" borderId="0" applyAlignment="1" pivotButton="0" quotePrefix="0" xfId="30">
      <alignment horizontal="center"/>
    </xf>
    <xf numFmtId="0" fontId="68" fillId="0" borderId="0" applyAlignment="1" pivotButton="0" quotePrefix="0" xfId="0">
      <alignment horizontal="center" vertical="top" wrapText="1"/>
    </xf>
    <xf numFmtId="0" fontId="68" fillId="0" borderId="0" applyAlignment="1" pivotButton="0" quotePrefix="0" xfId="0">
      <alignment vertical="top" wrapText="1"/>
    </xf>
    <xf numFmtId="10" fontId="66" fillId="0" borderId="0" pivotButton="0" quotePrefix="0" xfId="43"/>
    <xf numFmtId="0" fontId="66" fillId="0" borderId="62" pivotButton="0" quotePrefix="0" xfId="0"/>
    <xf numFmtId="0" fontId="66" fillId="0" borderId="63" pivotButton="0" quotePrefix="0" xfId="0"/>
    <xf numFmtId="0" fontId="74" fillId="0" borderId="63" pivotButton="0" quotePrefix="0" xfId="0"/>
    <xf numFmtId="0" fontId="74" fillId="0" borderId="64" pivotButton="0" quotePrefix="0" xfId="0"/>
    <xf numFmtId="14" fontId="66" fillId="0" borderId="0" applyAlignment="1" pivotButton="0" quotePrefix="0" xfId="0">
      <alignment horizontal="left"/>
    </xf>
    <xf numFmtId="0" fontId="0" fillId="44" borderId="0" pivotButton="0" quotePrefix="0" xfId="0"/>
    <xf numFmtId="0" fontId="66" fillId="43" borderId="29" applyAlignment="1" applyProtection="1" pivotButton="0" quotePrefix="0" xfId="0">
      <alignment horizontal="center"/>
      <protection locked="0" hidden="0"/>
    </xf>
    <xf numFmtId="0" fontId="35" fillId="45" borderId="9" applyAlignment="1" applyProtection="1" pivotButton="0" quotePrefix="0" xfId="37">
      <alignment horizontal="center" vertical="center" wrapText="1"/>
      <protection locked="0" hidden="0"/>
    </xf>
    <xf numFmtId="0" fontId="4" fillId="45" borderId="14" applyAlignment="1" pivotButton="0" quotePrefix="0" xfId="37">
      <alignment horizontal="left"/>
    </xf>
    <xf numFmtId="0" fontId="5" fillId="45" borderId="14" applyAlignment="1" pivotButton="0" quotePrefix="0" xfId="37">
      <alignment horizontal="left"/>
    </xf>
    <xf numFmtId="49" fontId="66" fillId="39" borderId="29" applyAlignment="1" applyProtection="1" pivotButton="0" quotePrefix="0" xfId="0">
      <alignment horizontal="center"/>
      <protection locked="0" hidden="0"/>
    </xf>
    <xf numFmtId="49" fontId="66" fillId="39" borderId="9" applyAlignment="1" applyProtection="1" pivotButton="0" quotePrefix="0" xfId="0">
      <alignment horizontal="center"/>
      <protection locked="0" hidden="0"/>
    </xf>
    <xf numFmtId="0" fontId="4" fillId="41" borderId="14" applyAlignment="1" pivotButton="0" quotePrefix="0" xfId="37">
      <alignment horizontal="left"/>
    </xf>
    <xf numFmtId="0" fontId="5" fillId="41" borderId="14" applyAlignment="1" pivotButton="0" quotePrefix="0" xfId="37">
      <alignment horizontal="left"/>
    </xf>
    <xf numFmtId="0" fontId="2" fillId="41" borderId="14" pivotButton="0" quotePrefix="0" xfId="37"/>
    <xf numFmtId="0" fontId="76" fillId="0" borderId="0" applyProtection="1" pivotButton="0" quotePrefix="0" xfId="0">
      <protection locked="0" hidden="0"/>
    </xf>
    <xf numFmtId="0" fontId="66" fillId="0" borderId="9" applyAlignment="1" pivotButton="0" quotePrefix="0" xfId="0">
      <alignment horizontal="center" vertical="top" wrapText="1"/>
    </xf>
    <xf numFmtId="2" fontId="66" fillId="43" borderId="9" applyAlignment="1" pivotButton="0" quotePrefix="0" xfId="43">
      <alignment horizontal="center"/>
    </xf>
    <xf numFmtId="0" fontId="66" fillId="0" borderId="29" pivotButton="0" quotePrefix="0" xfId="0"/>
    <xf numFmtId="169" fontId="73" fillId="0" borderId="0" pivotButton="0" quotePrefix="0" xfId="43"/>
    <xf numFmtId="0" fontId="73" fillId="0" borderId="0" applyProtection="1" pivotButton="0" quotePrefix="0" xfId="0">
      <protection locked="0" hidden="0"/>
    </xf>
    <xf numFmtId="0" fontId="79" fillId="0" borderId="29" applyProtection="1" pivotButton="0" quotePrefix="0" xfId="0">
      <protection locked="0" hidden="0"/>
    </xf>
    <xf numFmtId="0" fontId="66" fillId="46" borderId="9" applyAlignment="1" applyProtection="1" pivotButton="0" quotePrefix="0" xfId="0">
      <alignment horizontal="center"/>
      <protection locked="0" hidden="0"/>
    </xf>
    <xf numFmtId="10" fontId="0" fillId="43" borderId="9" applyAlignment="1" pivotButton="0" quotePrefix="0" xfId="43">
      <alignment horizontal="center"/>
    </xf>
    <xf numFmtId="10" fontId="0" fillId="39" borderId="9" applyAlignment="1" applyProtection="1" pivotButton="0" quotePrefix="0" xfId="43">
      <alignment horizontal="center"/>
      <protection locked="0" hidden="0"/>
    </xf>
    <xf numFmtId="0" fontId="66" fillId="0" borderId="0" applyAlignment="1" pivotButton="0" quotePrefix="0" xfId="0">
      <alignment horizontal="left"/>
    </xf>
    <xf numFmtId="0" fontId="68" fillId="0" borderId="56" applyAlignment="1" pivotButton="0" quotePrefix="0" xfId="0">
      <alignment horizontal="center" vertical="top"/>
    </xf>
    <xf numFmtId="10" fontId="66" fillId="0" borderId="0" applyAlignment="1" pivotButton="0" quotePrefix="0" xfId="43">
      <alignment horizontal="center"/>
    </xf>
    <xf numFmtId="0" fontId="68" fillId="0" borderId="61" pivotButton="0" quotePrefix="0" xfId="0"/>
    <xf numFmtId="0" fontId="71" fillId="0" borderId="0" applyAlignment="1" pivotButton="0" quotePrefix="0" xfId="0">
      <alignment vertical="top" wrapText="1"/>
    </xf>
    <xf numFmtId="0" fontId="71" fillId="0" borderId="61" applyAlignment="1" pivotButton="0" quotePrefix="0" xfId="0">
      <alignment vertical="top" wrapText="1"/>
    </xf>
    <xf numFmtId="164" fontId="66" fillId="0" borderId="9" applyAlignment="1" applyProtection="1" pivotButton="0" quotePrefix="0" xfId="0">
      <alignment horizontal="center"/>
      <protection locked="0" hidden="0"/>
    </xf>
    <xf numFmtId="164" fontId="66" fillId="39" borderId="9" applyAlignment="1" applyProtection="1" pivotButton="0" quotePrefix="0" xfId="0">
      <alignment horizontal="center"/>
      <protection locked="0" hidden="0"/>
    </xf>
    <xf numFmtId="0" fontId="68" fillId="0" borderId="9" applyAlignment="1" pivotButton="0" quotePrefix="0" xfId="0">
      <alignment horizontal="center" vertical="top" wrapText="1"/>
    </xf>
    <xf numFmtId="0" fontId="68" fillId="0" borderId="25" applyAlignment="1" pivotButton="0" quotePrefix="0" xfId="0">
      <alignment horizontal="center" vertical="top" wrapText="1"/>
    </xf>
    <xf numFmtId="0" fontId="66" fillId="0" borderId="12" applyAlignment="1" pivotButton="0" quotePrefix="0" xfId="0">
      <alignment horizontal="center"/>
    </xf>
    <xf numFmtId="2" fontId="66" fillId="43" borderId="25" applyAlignment="1" pivotButton="0" quotePrefix="0" xfId="43">
      <alignment horizontal="center"/>
    </xf>
    <xf numFmtId="0" fontId="66" fillId="0" borderId="13" applyAlignment="1" pivotButton="0" quotePrefix="0" xfId="0">
      <alignment horizontal="center"/>
    </xf>
    <xf numFmtId="164" fontId="66" fillId="39" borderId="37" applyAlignment="1" applyProtection="1" pivotButton="0" quotePrefix="0" xfId="0">
      <alignment horizontal="center"/>
      <protection locked="0" hidden="0"/>
    </xf>
    <xf numFmtId="0" fontId="66" fillId="46" borderId="37" applyAlignment="1" applyProtection="1" pivotButton="0" quotePrefix="0" xfId="0">
      <alignment horizontal="center"/>
      <protection locked="0" hidden="0"/>
    </xf>
    <xf numFmtId="2" fontId="66" fillId="43" borderId="37" applyAlignment="1" pivotButton="0" quotePrefix="0" xfId="43">
      <alignment horizontal="center"/>
    </xf>
    <xf numFmtId="2" fontId="66" fillId="43" borderId="26" applyAlignment="1" pivotButton="0" quotePrefix="0" xfId="43">
      <alignment horizontal="center"/>
    </xf>
    <xf numFmtId="0" fontId="11" fillId="0" borderId="67" pivotButton="0" quotePrefix="0" xfId="30"/>
    <xf numFmtId="0" fontId="11" fillId="0" borderId="68" pivotButton="0" quotePrefix="0" xfId="30"/>
    <xf numFmtId="0" fontId="66" fillId="0" borderId="69" applyAlignment="1" pivotButton="0" quotePrefix="0" xfId="0">
      <alignment horizontal="right"/>
    </xf>
    <xf numFmtId="0" fontId="66" fillId="39" borderId="66" applyAlignment="1" applyProtection="1" pivotButton="0" quotePrefix="0" xfId="0">
      <alignment horizontal="center"/>
      <protection locked="0" hidden="0"/>
    </xf>
    <xf numFmtId="0" fontId="76" fillId="0" borderId="66" applyProtection="1" pivotButton="0" quotePrefix="0" xfId="0">
      <protection locked="0" hidden="0"/>
    </xf>
    <xf numFmtId="0" fontId="66" fillId="0" borderId="4" applyAlignment="1" pivotButton="0" quotePrefix="0" xfId="0">
      <alignment horizontal="center"/>
    </xf>
    <xf numFmtId="169" fontId="73" fillId="0" borderId="5" pivotButton="0" quotePrefix="0" xfId="43"/>
    <xf numFmtId="164" fontId="66" fillId="39" borderId="66" applyAlignment="1" applyProtection="1" pivotButton="0" quotePrefix="0" xfId="0">
      <alignment horizontal="center"/>
      <protection locked="0" hidden="0"/>
    </xf>
    <xf numFmtId="0" fontId="66" fillId="0" borderId="70" applyAlignment="1" pivotButton="0" quotePrefix="0" xfId="0">
      <alignment horizontal="right"/>
    </xf>
    <xf numFmtId="0" fontId="78" fillId="0" borderId="71" applyProtection="1" pivotButton="0" quotePrefix="0" xfId="0">
      <protection locked="0" hidden="0"/>
    </xf>
    <xf numFmtId="0" fontId="81" fillId="0" borderId="14" pivotButton="0" quotePrefix="0" xfId="37"/>
    <xf numFmtId="0" fontId="36" fillId="0" borderId="0" applyAlignment="1" pivotButton="0" quotePrefix="0" xfId="37">
      <alignment horizontal="right" vertical="center"/>
    </xf>
    <xf numFmtId="0" fontId="2" fillId="0" borderId="15" applyAlignment="1" pivotButton="0" quotePrefix="0" xfId="37">
      <alignment vertical="center"/>
    </xf>
    <xf numFmtId="0" fontId="59" fillId="0" borderId="0" pivotButton="0" quotePrefix="0" xfId="0"/>
    <xf numFmtId="0" fontId="4" fillId="0" borderId="14" applyAlignment="1" pivotButton="0" quotePrefix="0" xfId="37">
      <alignment horizontal="center"/>
    </xf>
    <xf numFmtId="0" fontId="2" fillId="0" borderId="14" pivotButton="0" quotePrefix="0" xfId="37"/>
    <xf numFmtId="0" fontId="4" fillId="0" borderId="9" applyAlignment="1" pivotButton="0" quotePrefix="0" xfId="37">
      <alignment horizontal="center" vertical="center"/>
    </xf>
    <xf numFmtId="0" fontId="36" fillId="0" borderId="14" applyAlignment="1" pivotButton="0" quotePrefix="0" xfId="37">
      <alignment horizontal="left"/>
    </xf>
    <xf numFmtId="0" fontId="36" fillId="0" borderId="14" applyAlignment="1" pivotButton="0" quotePrefix="0" xfId="37">
      <alignment horizontal="left" vertical="center"/>
    </xf>
    <xf numFmtId="0" fontId="20" fillId="3" borderId="9" applyAlignment="1" pivotButton="0" quotePrefix="0" xfId="37">
      <alignment horizontal="center" vertical="center" wrapText="1"/>
    </xf>
    <xf numFmtId="0" fontId="20" fillId="3" borderId="19" applyAlignment="1" pivotButton="0" quotePrefix="0" xfId="37">
      <alignment horizontal="center" vertical="center" wrapText="1"/>
    </xf>
    <xf numFmtId="0" fontId="4" fillId="0" borderId="21" applyAlignment="1" pivotButton="0" quotePrefix="0" xfId="37">
      <alignment horizontal="center"/>
    </xf>
    <xf numFmtId="0" fontId="42" fillId="0" borderId="33" applyAlignment="1" pivotButton="0" quotePrefix="0" xfId="0">
      <alignment horizontal="center"/>
    </xf>
    <xf numFmtId="0" fontId="42" fillId="0" borderId="22" applyAlignment="1" pivotButton="0" quotePrefix="0" xfId="0">
      <alignment horizontal="center"/>
    </xf>
    <xf numFmtId="0" fontId="4" fillId="0" borderId="34" applyAlignment="1" pivotButton="0" quotePrefix="0" xfId="37">
      <alignment horizontal="center"/>
    </xf>
    <xf numFmtId="0" fontId="42" fillId="0" borderId="35" applyAlignment="1" pivotButton="0" quotePrefix="0" xfId="0">
      <alignment horizontal="center"/>
    </xf>
    <xf numFmtId="0" fontId="3" fillId="0" borderId="72" applyAlignment="1" pivotButton="0" quotePrefix="0" xfId="37">
      <alignment horizontal="center" wrapText="1"/>
    </xf>
    <xf numFmtId="0" fontId="3" fillId="0" borderId="73" applyAlignment="1" pivotButton="0" quotePrefix="0" xfId="37">
      <alignment horizontal="center" wrapText="1"/>
    </xf>
    <xf numFmtId="0" fontId="64" fillId="3" borderId="51" applyAlignment="1" pivotButton="0" quotePrefix="0" xfId="37">
      <alignment horizontal="center" vertical="center" wrapText="1"/>
    </xf>
    <xf numFmtId="0" fontId="64" fillId="3" borderId="19" applyAlignment="1" pivotButton="0" quotePrefix="0" xfId="37">
      <alignment horizontal="center" vertical="center" wrapText="1"/>
    </xf>
    <xf numFmtId="2" fontId="64" fillId="3" borderId="51" applyAlignment="1" pivotButton="0" quotePrefix="0" xfId="37">
      <alignment horizontal="center" vertical="center" wrapText="1"/>
    </xf>
    <xf numFmtId="2" fontId="64" fillId="3" borderId="19" applyAlignment="1" pivotButton="0" quotePrefix="0" xfId="37">
      <alignment horizontal="center" vertical="center" wrapText="1"/>
    </xf>
    <xf numFmtId="0" fontId="65" fillId="38" borderId="0" applyAlignment="1" pivotButton="0" quotePrefix="0" xfId="0">
      <alignment horizontal="center"/>
    </xf>
    <xf numFmtId="0" fontId="66" fillId="0" borderId="29" applyAlignment="1" pivotButton="0" quotePrefix="0" xfId="0">
      <alignment horizontal="right"/>
    </xf>
    <xf numFmtId="0" fontId="70" fillId="0" borderId="9" applyAlignment="1" pivotButton="0" quotePrefix="0" xfId="0">
      <alignment horizontal="center" vertical="top" wrapText="1"/>
    </xf>
    <xf numFmtId="10" fontId="0" fillId="0" borderId="9" applyAlignment="1" pivotButton="0" quotePrefix="0" xfId="43">
      <alignment horizontal="center"/>
    </xf>
    <xf numFmtId="49" fontId="66" fillId="39" borderId="9" applyAlignment="1" applyProtection="1" pivotButton="0" quotePrefix="0" xfId="0">
      <alignment horizontal="center"/>
      <protection locked="0" hidden="0"/>
    </xf>
    <xf numFmtId="164" fontId="66" fillId="39" borderId="9" applyAlignment="1" applyProtection="1" pivotButton="0" quotePrefix="0" xfId="0">
      <alignment horizontal="center"/>
      <protection locked="0" hidden="0"/>
    </xf>
    <xf numFmtId="10" fontId="68" fillId="0" borderId="36" applyAlignment="1" pivotButton="0" quotePrefix="0" xfId="0">
      <alignment horizontal="center"/>
    </xf>
    <xf numFmtId="10" fontId="68" fillId="0" borderId="11" applyAlignment="1" pivotButton="0" quotePrefix="0" xfId="0">
      <alignment horizontal="center"/>
    </xf>
    <xf numFmtId="0" fontId="68" fillId="0" borderId="10" applyAlignment="1" pivotButton="0" quotePrefix="0" xfId="0">
      <alignment horizontal="center" vertical="center" wrapText="1"/>
    </xf>
    <xf numFmtId="0" fontId="68" fillId="0" borderId="12" applyAlignment="1" pivotButton="0" quotePrefix="0" xfId="0">
      <alignment horizontal="center" vertical="center" wrapText="1"/>
    </xf>
    <xf numFmtId="0" fontId="68" fillId="0" borderId="36" applyAlignment="1" pivotButton="0" quotePrefix="0" xfId="0">
      <alignment horizontal="center"/>
    </xf>
    <xf numFmtId="0" fontId="68" fillId="0" borderId="9" applyAlignment="1" pivotButton="0" quotePrefix="0" xfId="0">
      <alignment horizontal="center" vertical="top" wrapText="1"/>
    </xf>
    <xf numFmtId="164" fontId="66" fillId="39" borderId="37" applyAlignment="1" applyProtection="1" pivotButton="0" quotePrefix="0" xfId="0">
      <alignment horizontal="center"/>
      <protection locked="0" hidden="0"/>
    </xf>
    <xf numFmtId="0" fontId="9" fillId="0" borderId="0" applyAlignment="1" pivotButton="0" quotePrefix="0" xfId="37">
      <alignment horizontal="center"/>
    </xf>
    <xf numFmtId="0" fontId="0" fillId="0" borderId="0" applyAlignment="1" pivotButton="0" quotePrefix="0" xfId="0">
      <alignment horizontal="center"/>
    </xf>
    <xf numFmtId="0" fontId="37" fillId="38" borderId="0" applyAlignment="1" pivotButton="0" quotePrefix="0" xfId="0">
      <alignment horizontal="center"/>
    </xf>
    <xf numFmtId="0" fontId="37" fillId="38" borderId="5" applyAlignment="1" pivotButton="0" quotePrefix="0" xfId="0">
      <alignment horizontal="center"/>
    </xf>
    <xf numFmtId="0" fontId="2" fillId="0" borderId="0" pivotButton="0" quotePrefix="0" xfId="37"/>
    <xf numFmtId="0" fontId="30" fillId="0" borderId="0" pivotButton="0" quotePrefix="0" xfId="0"/>
    <xf numFmtId="0" fontId="2" fillId="0" borderId="0" applyAlignment="1" applyProtection="1" pivotButton="0" quotePrefix="0" xfId="37">
      <alignment horizontal="center"/>
      <protection locked="0" hidden="0"/>
    </xf>
    <xf numFmtId="0" fontId="30" fillId="0" borderId="0" applyAlignment="1" applyProtection="1" pivotButton="0" quotePrefix="0" xfId="0">
      <alignment horizontal="center"/>
      <protection locked="0" hidden="0"/>
    </xf>
    <xf numFmtId="0" fontId="0" fillId="0" borderId="0" applyProtection="1" pivotButton="0" quotePrefix="0" xfId="0">
      <protection locked="0" hidden="0"/>
    </xf>
    <xf numFmtId="0" fontId="30" fillId="0" borderId="0" applyProtection="1" pivotButton="0" quotePrefix="0" xfId="0">
      <protection locked="0" hidden="0"/>
    </xf>
    <xf numFmtId="0" fontId="0" fillId="0" borderId="0" applyAlignment="1" applyProtection="1" pivotButton="0" quotePrefix="0" xfId="0">
      <alignment horizontal="left" wrapText="1"/>
      <protection locked="0" hidden="0"/>
    </xf>
    <xf numFmtId="0" fontId="0" fillId="0" borderId="5" applyAlignment="1" applyProtection="1" pivotButton="0" quotePrefix="0" xfId="0">
      <alignment horizontal="left" wrapText="1"/>
      <protection locked="0" hidden="0"/>
    </xf>
    <xf numFmtId="0" fontId="2" fillId="0" borderId="0" applyAlignment="1" pivotButton="0" quotePrefix="0" xfId="37">
      <alignment horizontal="center"/>
    </xf>
    <xf numFmtId="0" fontId="2" fillId="0" borderId="0" applyAlignment="1" pivotButton="0" quotePrefix="0" xfId="37">
      <alignment wrapText="1"/>
    </xf>
    <xf numFmtId="0" fontId="2" fillId="0" borderId="5" applyAlignment="1" pivotButton="0" quotePrefix="0" xfId="37">
      <alignment wrapText="1"/>
    </xf>
    <xf numFmtId="0" fontId="6" fillId="0" borderId="0" applyAlignment="1" pivotButton="0" quotePrefix="0" xfId="37">
      <alignment horizontal="center"/>
    </xf>
    <xf numFmtId="0" fontId="2" fillId="0" borderId="0" applyAlignment="1" pivotButton="0" quotePrefix="0" xfId="37">
      <alignment horizontal="center" vertical="center" wrapText="1"/>
    </xf>
    <xf numFmtId="0" fontId="0" fillId="0" borderId="0" applyAlignment="1" pivotButton="0" quotePrefix="0" xfId="0">
      <alignment horizontal="center" vertical="center" wrapText="1"/>
    </xf>
    <xf numFmtId="2" fontId="2" fillId="0" borderId="0" applyAlignment="1" pivotButton="0" quotePrefix="0" xfId="37">
      <alignment horizontal="center"/>
    </xf>
    <xf numFmtId="0" fontId="0" fillId="0" borderId="0" pivotButton="0" quotePrefix="0" xfId="0"/>
    <xf numFmtId="2" fontId="2" fillId="0" borderId="0" pivotButton="0" quotePrefix="0" xfId="37"/>
    <xf numFmtId="0" fontId="2" fillId="0" borderId="0" applyAlignment="1" pivotButton="0" quotePrefix="0" xfId="37">
      <alignment horizontal="right"/>
    </xf>
    <xf numFmtId="0" fontId="6" fillId="0" borderId="0" applyAlignment="1" pivotButton="0" quotePrefix="0" xfId="37">
      <alignment horizontal="left"/>
    </xf>
    <xf numFmtId="0" fontId="6" fillId="0" borderId="0" applyAlignment="1" pivotButton="0" quotePrefix="0" xfId="37">
      <alignment horizontal="right"/>
    </xf>
    <xf numFmtId="0" fontId="7" fillId="0" borderId="12" applyAlignment="1" pivotButton="0" quotePrefix="0" xfId="37">
      <alignment horizontal="center"/>
    </xf>
    <xf numFmtId="0" fontId="7" fillId="0" borderId="9" applyAlignment="1" pivotButton="0" quotePrefix="0" xfId="37">
      <alignment horizontal="center"/>
    </xf>
    <xf numFmtId="2" fontId="7" fillId="0" borderId="9" applyAlignment="1" pivotButton="0" quotePrefix="0" xfId="37">
      <alignment horizontal="center"/>
    </xf>
    <xf numFmtId="0" fontId="7" fillId="0" borderId="0" applyAlignment="1" applyProtection="1" pivotButton="0" quotePrefix="0" xfId="0">
      <alignment horizontal="center"/>
      <protection locked="0" hidden="0"/>
    </xf>
    <xf numFmtId="0" fontId="7" fillId="0" borderId="5" applyAlignment="1" applyProtection="1" pivotButton="0" quotePrefix="0" xfId="0">
      <alignment horizontal="center"/>
      <protection locked="0" hidden="0"/>
    </xf>
    <xf numFmtId="0" fontId="2" fillId="0" borderId="0" applyAlignment="1" applyProtection="1" pivotButton="0" quotePrefix="0" xfId="37">
      <alignment horizontal="left"/>
      <protection locked="0" hidden="0"/>
    </xf>
    <xf numFmtId="0" fontId="2" fillId="0" borderId="5" applyAlignment="1" applyProtection="1" pivotButton="0" quotePrefix="0" xfId="37">
      <alignment horizontal="left"/>
      <protection locked="0" hidden="0"/>
    </xf>
    <xf numFmtId="0" fontId="33" fillId="0" borderId="0" applyAlignment="1" applyProtection="1" pivotButton="0" quotePrefix="0" xfId="37">
      <alignment horizontal="left"/>
      <protection locked="0" hidden="0"/>
    </xf>
    <xf numFmtId="0" fontId="33" fillId="0" borderId="5" applyAlignment="1" applyProtection="1" pivotButton="0" quotePrefix="0" xfId="37">
      <alignment horizontal="left"/>
      <protection locked="0" hidden="0"/>
    </xf>
    <xf numFmtId="0" fontId="33" fillId="0" borderId="0" applyAlignment="1" pivotButton="0" quotePrefix="0" xfId="37">
      <alignment horizontal="left"/>
    </xf>
    <xf numFmtId="0" fontId="33" fillId="0" borderId="5" applyAlignment="1" pivotButton="0" quotePrefix="0" xfId="37">
      <alignment horizontal="left"/>
    </xf>
    <xf numFmtId="0" fontId="33" fillId="0" borderId="0" applyAlignment="1" applyProtection="1" pivotButton="0" quotePrefix="0" xfId="37">
      <alignment horizontal="left" vertical="center" wrapText="1"/>
      <protection locked="0" hidden="0"/>
    </xf>
    <xf numFmtId="0" fontId="33" fillId="0" borderId="5" applyAlignment="1" applyProtection="1" pivotButton="0" quotePrefix="0" xfId="37">
      <alignment horizontal="left" vertical="center" wrapText="1"/>
      <protection locked="0" hidden="0"/>
    </xf>
    <xf numFmtId="0" fontId="2" fillId="0" borderId="0" applyAlignment="1" pivotButton="0" quotePrefix="0" xfId="37">
      <alignment horizontal="left"/>
    </xf>
    <xf numFmtId="0" fontId="2" fillId="0" borderId="5" applyAlignment="1" pivotButton="0" quotePrefix="0" xfId="37">
      <alignment horizontal="left"/>
    </xf>
    <xf numFmtId="0" fontId="14" fillId="0" borderId="0" applyAlignment="1" pivotButton="0" quotePrefix="0" xfId="37">
      <alignment horizontal="left"/>
    </xf>
    <xf numFmtId="0" fontId="7" fillId="0" borderId="0" applyAlignment="1" applyProtection="1" pivotButton="0" quotePrefix="0" xfId="37">
      <alignment horizontal="center"/>
      <protection locked="0" hidden="0"/>
    </xf>
    <xf numFmtId="0" fontId="0" fillId="0" borderId="0" applyAlignment="1" applyProtection="1" pivotButton="0" quotePrefix="0" xfId="0">
      <alignment horizontal="center"/>
      <protection locked="0" hidden="0"/>
    </xf>
    <xf numFmtId="2" fontId="7" fillId="0" borderId="0" applyAlignment="1" pivotButton="0" quotePrefix="0" xfId="37">
      <alignment horizontal="center"/>
    </xf>
    <xf numFmtId="164" fontId="7" fillId="0" borderId="9" applyAlignment="1" pivotButton="0" quotePrefix="0" xfId="37">
      <alignment horizontal="center"/>
    </xf>
    <xf numFmtId="164" fontId="7" fillId="0" borderId="25" applyAlignment="1" pivotButton="0" quotePrefix="0" xfId="37">
      <alignment horizontal="center"/>
    </xf>
    <xf numFmtId="0" fontId="7" fillId="0" borderId="0" applyAlignment="1" pivotButton="0" quotePrefix="0" xfId="37">
      <alignment horizontal="center"/>
    </xf>
    <xf numFmtId="2" fontId="14" fillId="0" borderId="0" applyAlignment="1" pivotButton="0" quotePrefix="0" xfId="37">
      <alignment horizontal="left"/>
    </xf>
    <xf numFmtId="0" fontId="9" fillId="0" borderId="10" applyAlignment="1" pivotButton="0" quotePrefix="0" xfId="37">
      <alignment horizontal="center"/>
    </xf>
    <xf numFmtId="0" fontId="0" fillId="0" borderId="36" applyAlignment="1" pivotButton="0" quotePrefix="0" xfId="0">
      <alignment horizontal="center"/>
    </xf>
    <xf numFmtId="0" fontId="14" fillId="0" borderId="0" applyAlignment="1" applyProtection="1" pivotButton="0" quotePrefix="0" xfId="0">
      <alignment horizontal="left"/>
      <protection locked="0" hidden="0"/>
    </xf>
    <xf numFmtId="0" fontId="7" fillId="0" borderId="0" applyAlignment="1" applyProtection="1" pivotButton="0" quotePrefix="1" xfId="0">
      <alignment horizontal="center"/>
      <protection locked="0" hidden="0"/>
    </xf>
    <xf numFmtId="0" fontId="7" fillId="0" borderId="0" applyAlignment="1" pivotButton="0" quotePrefix="0" xfId="37">
      <alignment horizontal="left"/>
    </xf>
    <xf numFmtId="0" fontId="2" fillId="0" borderId="4" applyAlignment="1" pivotButton="0" quotePrefix="0" xfId="37">
      <alignment horizontal="center"/>
    </xf>
    <xf numFmtId="0" fontId="2" fillId="0" borderId="5" applyAlignment="1" pivotButton="0" quotePrefix="0" xfId="37">
      <alignment horizontal="center"/>
    </xf>
    <xf numFmtId="0" fontId="9" fillId="0" borderId="36" applyAlignment="1" pivotButton="0" quotePrefix="0" xfId="37">
      <alignment horizontal="center"/>
    </xf>
    <xf numFmtId="0" fontId="0" fillId="0" borderId="11" applyAlignment="1" pivotButton="0" quotePrefix="0" xfId="0">
      <alignment horizontal="center"/>
    </xf>
    <xf numFmtId="0" fontId="11" fillId="0" borderId="0" pivotButton="0" quotePrefix="0" xfId="37"/>
    <xf numFmtId="0" fontId="34" fillId="0" borderId="0" pivotButton="0" quotePrefix="0" xfId="0"/>
    <xf numFmtId="0" fontId="38" fillId="0" borderId="4" applyAlignment="1" pivotButton="0" quotePrefix="0" xfId="37">
      <alignment horizontal="center" vertical="top"/>
    </xf>
    <xf numFmtId="0" fontId="38" fillId="0" borderId="0" applyAlignment="1" pivotButton="0" quotePrefix="0" xfId="37">
      <alignment horizontal="center" vertical="top"/>
    </xf>
    <xf numFmtId="0" fontId="38" fillId="0" borderId="5" applyAlignment="1" pivotButton="0" quotePrefix="0" xfId="37">
      <alignment horizontal="center" vertical="top"/>
    </xf>
    <xf numFmtId="0" fontId="11" fillId="0" borderId="0" applyAlignment="1" pivotButton="0" quotePrefix="0" xfId="37">
      <alignment horizontal="left"/>
    </xf>
    <xf numFmtId="0" fontId="11" fillId="0" borderId="0" applyAlignment="1" pivotButton="0" quotePrefix="0" xfId="0">
      <alignment horizontal="left"/>
    </xf>
    <xf numFmtId="164" fontId="7" fillId="0" borderId="0" applyAlignment="1" pivotButton="0" quotePrefix="0" xfId="37">
      <alignment horizontal="center"/>
    </xf>
    <xf numFmtId="0" fontId="9" fillId="0" borderId="0" applyAlignment="1" pivotButton="0" quotePrefix="0" xfId="37">
      <alignment horizontal="right"/>
    </xf>
    <xf numFmtId="15" fontId="9" fillId="0" borderId="0" applyAlignment="1" pivotButton="0" quotePrefix="0" xfId="37">
      <alignment horizontal="left"/>
    </xf>
    <xf numFmtId="15" fontId="9" fillId="0" borderId="5" applyAlignment="1" pivotButton="0" quotePrefix="0" xfId="37">
      <alignment horizontal="left"/>
    </xf>
    <xf numFmtId="0" fontId="33" fillId="0" borderId="0" applyAlignment="1" pivotButton="0" quotePrefix="0" xfId="37">
      <alignment horizontal="left" vertical="center" wrapText="1"/>
    </xf>
    <xf numFmtId="0" fontId="33" fillId="0" borderId="5" applyAlignment="1" pivotButton="0" quotePrefix="0" xfId="37">
      <alignment horizontal="left" vertical="center" wrapText="1"/>
    </xf>
    <xf numFmtId="20" fontId="9" fillId="0" borderId="0" applyAlignment="1" pivotButton="0" quotePrefix="0" xfId="37">
      <alignment horizontal="left"/>
    </xf>
    <xf numFmtId="20" fontId="9" fillId="0" borderId="5" applyAlignment="1" pivotButton="0" quotePrefix="0" xfId="37">
      <alignment horizontal="left"/>
    </xf>
    <xf numFmtId="15" fontId="9" fillId="0" borderId="0" applyAlignment="1" applyProtection="1" pivotButton="0" quotePrefix="0" xfId="37">
      <alignment horizontal="left"/>
      <protection locked="0" hidden="0"/>
    </xf>
    <xf numFmtId="15" fontId="9" fillId="0" borderId="5" applyAlignment="1" applyProtection="1" pivotButton="0" quotePrefix="0" xfId="37">
      <alignment horizontal="left"/>
      <protection locked="0" hidden="0"/>
    </xf>
    <xf numFmtId="0" fontId="9" fillId="0" borderId="0" applyAlignment="1" applyProtection="1" pivotButton="0" quotePrefix="0" xfId="37">
      <alignment horizontal="left"/>
      <protection locked="0" hidden="0"/>
    </xf>
    <xf numFmtId="0" fontId="7" fillId="0" borderId="13" applyAlignment="1" pivotButton="0" quotePrefix="0" xfId="37">
      <alignment horizontal="center"/>
    </xf>
    <xf numFmtId="0" fontId="7" fillId="0" borderId="37" applyAlignment="1" pivotButton="0" quotePrefix="0" xfId="37">
      <alignment horizontal="center"/>
    </xf>
    <xf numFmtId="2" fontId="7" fillId="0" borderId="37" applyAlignment="1" pivotButton="0" quotePrefix="0" xfId="37">
      <alignment horizontal="center"/>
    </xf>
    <xf numFmtId="164" fontId="7" fillId="0" borderId="37" applyAlignment="1" pivotButton="0" quotePrefix="0" xfId="37">
      <alignment horizontal="center"/>
    </xf>
    <xf numFmtId="164" fontId="7" fillId="0" borderId="26" applyAlignment="1" pivotButton="0" quotePrefix="0" xfId="37">
      <alignment horizontal="center"/>
    </xf>
    <xf numFmtId="0" fontId="9" fillId="0" borderId="0" applyAlignment="1" pivotButton="0" quotePrefix="0" xfId="37">
      <alignment horizontal="left"/>
    </xf>
    <xf numFmtId="0" fontId="7" fillId="0" borderId="0" applyAlignment="1" pivotButton="0" quotePrefix="0" xfId="37">
      <alignment horizontal="right"/>
    </xf>
    <xf numFmtId="0" fontId="7" fillId="0" borderId="0" applyAlignment="1" applyProtection="1" pivotButton="0" quotePrefix="0" xfId="37">
      <alignment horizontal="left"/>
      <protection locked="0" hidden="0"/>
    </xf>
    <xf numFmtId="2" fontId="7" fillId="0" borderId="28" applyAlignment="1" pivotButton="0" quotePrefix="0" xfId="37">
      <alignment horizontal="center"/>
    </xf>
    <xf numFmtId="2" fontId="7" fillId="0" borderId="29" applyAlignment="1" pivotButton="0" quotePrefix="0" xfId="37">
      <alignment horizontal="center"/>
    </xf>
    <xf numFmtId="2" fontId="7" fillId="0" borderId="30" applyAlignment="1" pivotButton="0" quotePrefix="0" xfId="37">
      <alignment horizontal="center"/>
    </xf>
    <xf numFmtId="166" fontId="7" fillId="0" borderId="9" applyAlignment="1" pivotButton="0" quotePrefix="0" xfId="43">
      <alignment horizontal="center"/>
    </xf>
    <xf numFmtId="166" fontId="7" fillId="0" borderId="25" applyAlignment="1" pivotButton="0" quotePrefix="0" xfId="43">
      <alignment horizontal="center"/>
    </xf>
    <xf numFmtId="2" fontId="7" fillId="0" borderId="38" applyAlignment="1" pivotButton="0" quotePrefix="0" xfId="37">
      <alignment horizontal="center"/>
    </xf>
    <xf numFmtId="2" fontId="7" fillId="0" borderId="39" applyAlignment="1" pivotButton="0" quotePrefix="0" xfId="37">
      <alignment horizontal="center"/>
    </xf>
    <xf numFmtId="2" fontId="7" fillId="0" borderId="40" applyAlignment="1" pivotButton="0" quotePrefix="0" xfId="37">
      <alignment horizontal="center"/>
    </xf>
    <xf numFmtId="166" fontId="7" fillId="0" borderId="37" applyAlignment="1" pivotButton="0" quotePrefix="0" xfId="43">
      <alignment horizontal="center"/>
    </xf>
    <xf numFmtId="166" fontId="7" fillId="0" borderId="26" applyAlignment="1" pivotButton="0" quotePrefix="0" xfId="43">
      <alignment horizontal="center"/>
    </xf>
    <xf numFmtId="0" fontId="9" fillId="0" borderId="11" applyAlignment="1" pivotButton="0" quotePrefix="0" xfId="37">
      <alignment horizontal="center"/>
    </xf>
    <xf numFmtId="0" fontId="0" fillId="0" borderId="9" pivotButton="0" quotePrefix="0" xfId="0"/>
    <xf numFmtId="0" fontId="0" fillId="0" borderId="25" pivotButton="0" quotePrefix="0" xfId="0"/>
    <xf numFmtId="0" fontId="14" fillId="0" borderId="0" applyAlignment="1" applyProtection="1" pivotButton="0" quotePrefix="0" xfId="37">
      <alignment horizontal="left"/>
      <protection locked="0" hidden="0"/>
    </xf>
    <xf numFmtId="166" fontId="7" fillId="0" borderId="28" applyAlignment="1" pivotButton="0" quotePrefix="0" xfId="43">
      <alignment horizontal="center"/>
    </xf>
    <xf numFmtId="166" fontId="7" fillId="0" borderId="29" applyAlignment="1" pivotButton="0" quotePrefix="0" xfId="43">
      <alignment horizontal="center"/>
    </xf>
    <xf numFmtId="166" fontId="7" fillId="0" borderId="66" applyAlignment="1" pivotButton="0" quotePrefix="0" xfId="43">
      <alignment horizontal="center"/>
    </xf>
    <xf numFmtId="0" fontId="9" fillId="0" borderId="36" applyAlignment="1" pivotButton="0" quotePrefix="0" xfId="37">
      <alignment horizontal="center" wrapText="1"/>
    </xf>
    <xf numFmtId="0" fontId="0" fillId="0" borderId="12" pivotButton="0" quotePrefix="0" xfId="0"/>
    <xf numFmtId="15" fontId="18" fillId="0" borderId="0" applyAlignment="1" applyProtection="1" pivotButton="0" quotePrefix="0" xfId="37">
      <alignment horizontal="center"/>
      <protection locked="0" hidden="0"/>
    </xf>
    <xf numFmtId="15" fontId="18" fillId="0" borderId="5" applyAlignment="1" applyProtection="1" pivotButton="0" quotePrefix="0" xfId="37">
      <alignment horizontal="center"/>
      <protection locked="0" hidden="0"/>
    </xf>
    <xf numFmtId="0" fontId="2" fillId="0" borderId="5" applyAlignment="1" applyProtection="1" pivotButton="0" quotePrefix="0" xfId="37">
      <alignment horizontal="center"/>
      <protection locked="0" hidden="0"/>
    </xf>
    <xf numFmtId="10" fontId="7" fillId="0" borderId="0" applyAlignment="1" applyProtection="1" pivotButton="0" quotePrefix="0" xfId="37">
      <alignment horizontal="center"/>
      <protection locked="0" hidden="0"/>
    </xf>
    <xf numFmtId="0" fontId="23" fillId="0" borderId="0" applyProtection="1" pivotButton="0" quotePrefix="0" xfId="0">
      <protection locked="0" hidden="0"/>
    </xf>
    <xf numFmtId="0" fontId="14" fillId="0" borderId="0" applyAlignment="1" pivotButton="0" quotePrefix="0" xfId="0">
      <alignment horizontal="left"/>
    </xf>
    <xf numFmtId="0" fontId="7" fillId="0" borderId="0" applyAlignment="1" pivotButton="0" quotePrefix="0" xfId="0">
      <alignment horizontal="center"/>
    </xf>
    <xf numFmtId="0" fontId="7" fillId="0" borderId="5" applyAlignment="1" pivotButton="0" quotePrefix="0" xfId="0">
      <alignment horizontal="center"/>
    </xf>
    <xf numFmtId="0" fontId="75" fillId="0" borderId="60" applyAlignment="1" pivotButton="0" quotePrefix="0" xfId="0">
      <alignment horizontal="center"/>
    </xf>
    <xf numFmtId="0" fontId="75" fillId="0" borderId="0" applyAlignment="1" pivotButton="0" quotePrefix="0" xfId="0">
      <alignment horizontal="center"/>
    </xf>
    <xf numFmtId="0" fontId="75" fillId="0" borderId="61" applyAlignment="1" pivotButton="0" quotePrefix="0" xfId="0">
      <alignment horizontal="center"/>
    </xf>
    <xf numFmtId="0" fontId="66" fillId="0" borderId="0" applyAlignment="1" pivotButton="0" quotePrefix="0" xfId="0">
      <alignment horizontal="left"/>
    </xf>
    <xf numFmtId="0" fontId="66" fillId="0" borderId="61" applyAlignment="1" pivotButton="0" quotePrefix="0" xfId="0">
      <alignment horizontal="left"/>
    </xf>
    <xf numFmtId="0" fontId="66" fillId="0" borderId="0" applyAlignment="1" pivotButton="0" quotePrefix="0" xfId="0">
      <alignment horizontal="right"/>
    </xf>
    <xf numFmtId="2" fontId="66" fillId="0" borderId="0" applyAlignment="1" pivotButton="0" quotePrefix="0" xfId="0">
      <alignment horizontal="left"/>
    </xf>
    <xf numFmtId="2" fontId="66" fillId="0" borderId="61" applyAlignment="1" pivotButton="0" quotePrefix="0" xfId="0">
      <alignment horizontal="left"/>
    </xf>
    <xf numFmtId="14" fontId="66" fillId="0" borderId="0" applyAlignment="1" pivotButton="0" quotePrefix="0" xfId="0">
      <alignment horizontal="center"/>
    </xf>
    <xf numFmtId="0" fontId="66" fillId="0" borderId="0" applyAlignment="1" pivotButton="0" quotePrefix="0" xfId="0">
      <alignment horizontal="center"/>
    </xf>
    <xf numFmtId="0" fontId="68" fillId="0" borderId="56" applyAlignment="1" pivotButton="0" quotePrefix="0" xfId="0">
      <alignment horizontal="center" vertical="top"/>
    </xf>
    <xf numFmtId="14" fontId="66" fillId="0" borderId="65" applyAlignment="1" pivotButton="0" quotePrefix="0" xfId="0">
      <alignment horizontal="center"/>
    </xf>
    <xf numFmtId="0" fontId="66" fillId="0" borderId="65" applyAlignment="1" pivotButton="0" quotePrefix="0" xfId="0">
      <alignment horizontal="center"/>
    </xf>
    <xf numFmtId="0" fontId="68" fillId="0" borderId="56" applyAlignment="1" pivotButton="0" quotePrefix="0" xfId="0">
      <alignment horizontal="center" vertical="top" wrapText="1"/>
    </xf>
    <xf numFmtId="0" fontId="68" fillId="0" borderId="0" applyAlignment="1" pivotButton="0" quotePrefix="0" xfId="0">
      <alignment horizontal="center" vertical="top"/>
    </xf>
    <xf numFmtId="0" fontId="70" fillId="0" borderId="56" applyAlignment="1" pivotButton="0" quotePrefix="0" xfId="0">
      <alignment horizontal="center" vertical="top"/>
    </xf>
    <xf numFmtId="10" fontId="66" fillId="0" borderId="65" applyAlignment="1" pivotButton="0" quotePrefix="0" xfId="43">
      <alignment horizontal="center"/>
    </xf>
    <xf numFmtId="10" fontId="66" fillId="0" borderId="0" applyAlignment="1" pivotButton="0" quotePrefix="0" xfId="43">
      <alignment horizontal="center"/>
    </xf>
    <xf numFmtId="2" fontId="66" fillId="0" borderId="9" applyAlignment="1" pivotButton="0" quotePrefix="0" xfId="43">
      <alignment horizontal="center"/>
    </xf>
    <xf numFmtId="0" fontId="66" fillId="0" borderId="0" applyAlignment="1" applyProtection="1" pivotButton="0" quotePrefix="0" xfId="0">
      <alignment horizontal="center"/>
      <protection locked="0" hidden="0"/>
    </xf>
    <xf numFmtId="2" fontId="66" fillId="0" borderId="28" applyAlignment="1" pivotButton="0" quotePrefix="0" xfId="43">
      <alignment horizontal="center"/>
    </xf>
    <xf numFmtId="2" fontId="66" fillId="0" borderId="30" applyAlignment="1" pivotButton="0" quotePrefix="0" xfId="43">
      <alignment horizontal="center"/>
    </xf>
    <xf numFmtId="0" fontId="66" fillId="0" borderId="28" applyAlignment="1" pivotButton="0" quotePrefix="0" xfId="0">
      <alignment horizontal="center" vertical="top" wrapText="1"/>
    </xf>
    <xf numFmtId="0" fontId="66" fillId="0" borderId="30" applyAlignment="1" pivotButton="0" quotePrefix="0" xfId="0">
      <alignment horizontal="center" vertical="top" wrapText="1"/>
    </xf>
    <xf numFmtId="0" fontId="71" fillId="0" borderId="0" applyAlignment="1" pivotButton="0" quotePrefix="0" xfId="0">
      <alignment horizontal="left" vertical="top" wrapText="1"/>
    </xf>
    <xf numFmtId="0" fontId="71" fillId="0" borderId="61" applyAlignment="1" pivotButton="0" quotePrefix="0" xfId="0">
      <alignment horizontal="left" vertical="top" wrapText="1"/>
    </xf>
    <xf numFmtId="0" fontId="66" fillId="0" borderId="0" applyAlignment="1" applyProtection="1" pivotButton="0" quotePrefix="0" xfId="0">
      <alignment horizontal="left" vertical="top" wrapText="1"/>
      <protection locked="0" hidden="0"/>
    </xf>
    <xf numFmtId="0" fontId="66" fillId="0" borderId="61" applyAlignment="1" applyProtection="1" pivotButton="0" quotePrefix="0" xfId="0">
      <alignment horizontal="left" vertical="top" wrapText="1"/>
      <protection locked="0" hidden="0"/>
    </xf>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vertical="top"/>
    </xf>
    <xf numFmtId="0" fontId="68" fillId="0" borderId="56" applyAlignment="1" pivotButton="0" quotePrefix="0" xfId="0">
      <alignment horizontal="left"/>
    </xf>
    <xf numFmtId="0" fontId="6" fillId="0" borderId="0" pivotButton="0" quotePrefix="0" xfId="37"/>
    <xf numFmtId="49" fontId="2" fillId="0" borderId="0" applyAlignment="1" pivotButton="0" quotePrefix="0" xfId="37">
      <alignment horizontal="center"/>
    </xf>
    <xf numFmtId="0" fontId="0" fillId="0" borderId="15" pivotButton="0" quotePrefix="0" xfId="0"/>
    <xf numFmtId="0" fontId="0" fillId="0" borderId="29" pivotButton="0" quotePrefix="0" xfId="0"/>
    <xf numFmtId="0" fontId="0" fillId="0" borderId="30" pivotButton="0" quotePrefix="0" xfId="0"/>
    <xf numFmtId="164" fontId="22" fillId="0" borderId="55" applyAlignment="1" pivotButton="0" quotePrefix="0" xfId="37">
      <alignment horizontal="center"/>
    </xf>
    <xf numFmtId="164" fontId="22" fillId="0" borderId="14" applyAlignment="1" pivotButton="0" quotePrefix="0" xfId="37">
      <alignment horizontal="center"/>
    </xf>
    <xf numFmtId="164" fontId="22" fillId="0" borderId="17" applyAlignment="1" pivotButton="0" quotePrefix="0" xfId="37">
      <alignment horizontal="center"/>
    </xf>
    <xf numFmtId="0" fontId="0" fillId="0" borderId="78" pivotButton="0" quotePrefix="0" xfId="0"/>
    <xf numFmtId="164" fontId="22" fillId="0" borderId="20" applyAlignment="1" pivotButton="0" quotePrefix="0" xfId="37">
      <alignment horizontal="center"/>
    </xf>
    <xf numFmtId="0" fontId="0" fillId="0" borderId="19" pivotButton="0" quotePrefix="0" xfId="0"/>
    <xf numFmtId="164" fontId="22" fillId="2" borderId="9" applyAlignment="1" pivotButton="0" quotePrefix="0" xfId="37">
      <alignment horizontal="center"/>
    </xf>
    <xf numFmtId="164" fontId="35" fillId="4" borderId="9" applyAlignment="1" applyProtection="1" pivotButton="0" quotePrefix="0" xfId="37">
      <alignment horizontal="center" vertical="center" wrapText="1"/>
      <protection locked="0" hidden="0"/>
    </xf>
    <xf numFmtId="166" fontId="22" fillId="2" borderId="9" applyAlignment="1" pivotButton="0" quotePrefix="0" xfId="43">
      <alignment horizontal="center"/>
    </xf>
    <xf numFmtId="164" fontId="22" fillId="38" borderId="14" applyAlignment="1" pivotButton="0" quotePrefix="0" xfId="37">
      <alignment horizontal="center"/>
    </xf>
    <xf numFmtId="0" fontId="3" fillId="0" borderId="79" applyAlignment="1" pivotButton="0" quotePrefix="0" xfId="37">
      <alignment horizontal="center" wrapText="1"/>
    </xf>
    <xf numFmtId="0" fontId="0" fillId="0" borderId="73" pivotButton="0" quotePrefix="0" xfId="0"/>
    <xf numFmtId="0" fontId="64" fillId="3" borderId="9" applyAlignment="1" pivotButton="0" quotePrefix="0" xfId="37">
      <alignment horizontal="center" vertical="center" wrapText="1"/>
    </xf>
    <xf numFmtId="2" fontId="64" fillId="3" borderId="9" applyAlignment="1" pivotButton="0" quotePrefix="0" xfId="37">
      <alignment horizontal="center" vertical="center" wrapText="1"/>
    </xf>
    <xf numFmtId="0" fontId="0" fillId="0" borderId="30" applyProtection="1" pivotButton="0" quotePrefix="0" xfId="0">
      <protection locked="0" hidden="0"/>
    </xf>
    <xf numFmtId="0" fontId="0" fillId="0" borderId="82" pivotButton="0" quotePrefix="0" xfId="0"/>
    <xf numFmtId="0" fontId="0" fillId="0" borderId="85" pivotButton="0" quotePrefix="0" xfId="0"/>
    <xf numFmtId="0" fontId="0" fillId="0" borderId="84" pivotButton="0" quotePrefix="0" xfId="0"/>
    <xf numFmtId="164" fontId="66" fillId="39" borderId="9" applyAlignment="1" applyProtection="1" pivotButton="0" quotePrefix="0" xfId="0">
      <alignment horizontal="center"/>
      <protection locked="0" hidden="0"/>
    </xf>
    <xf numFmtId="164" fontId="66" fillId="39" borderId="66" applyAlignment="1" applyProtection="1" pivotButton="0" quotePrefix="0" xfId="0">
      <alignment horizontal="center"/>
      <protection locked="0" hidden="0"/>
    </xf>
    <xf numFmtId="164" fontId="66" fillId="39" borderId="37" applyAlignment="1" applyProtection="1" pivotButton="0" quotePrefix="0" xfId="0">
      <alignment horizontal="center"/>
      <protection locked="0" hidden="0"/>
    </xf>
    <xf numFmtId="0" fontId="0" fillId="0" borderId="40" applyProtection="1" pivotButton="0" quotePrefix="0" xfId="0">
      <protection locked="0" hidden="0"/>
    </xf>
    <xf numFmtId="0" fontId="0" fillId="0" borderId="5" applyProtection="1" pivotButton="0" quotePrefix="0" xfId="0">
      <protection locked="0" hidden="0"/>
    </xf>
    <xf numFmtId="0" fontId="38" fillId="0" borderId="86" applyAlignment="1" pivotButton="0" quotePrefix="0" xfId="37">
      <alignment horizontal="center" vertical="top"/>
    </xf>
    <xf numFmtId="164" fontId="7" fillId="0" borderId="0" applyAlignment="1" pivotButton="0" quotePrefix="0" xfId="37">
      <alignment horizontal="center"/>
    </xf>
    <xf numFmtId="0" fontId="2" fillId="0" borderId="86" applyAlignment="1" pivotButton="0" quotePrefix="0" xfId="37">
      <alignment horizontal="center"/>
    </xf>
    <xf numFmtId="0" fontId="0" fillId="0" borderId="4" pivotButton="0" quotePrefix="0" xfId="0"/>
    <xf numFmtId="164" fontId="7" fillId="0" borderId="9" applyAlignment="1" pivotButton="0" quotePrefix="0" xfId="37">
      <alignment horizontal="center"/>
    </xf>
    <xf numFmtId="0" fontId="0" fillId="0" borderId="39" pivotButton="0" quotePrefix="0" xfId="0"/>
    <xf numFmtId="0" fontId="0" fillId="0" borderId="40" pivotButton="0" quotePrefix="0" xfId="0"/>
    <xf numFmtId="164" fontId="7" fillId="0" borderId="37" applyAlignment="1" pivotButton="0" quotePrefix="0" xfId="37">
      <alignment horizontal="center"/>
    </xf>
    <xf numFmtId="0" fontId="0" fillId="0" borderId="2" pivotButton="0" quotePrefix="0" xfId="0"/>
    <xf numFmtId="0" fontId="0" fillId="0" borderId="81" pivotButton="0" quotePrefix="0" xfId="0"/>
    <xf numFmtId="0" fontId="0" fillId="0" borderId="89" pivotButton="0" quotePrefix="0" xfId="0"/>
    <xf numFmtId="0" fontId="0" fillId="0" borderId="88" pivotButton="0" quotePrefix="0" xfId="0"/>
    <xf numFmtId="0" fontId="0" fillId="0" borderId="87" pivotButton="0" quotePrefix="0" xfId="0"/>
    <xf numFmtId="166" fontId="7" fillId="0" borderId="25" applyAlignment="1" pivotButton="0" quotePrefix="0" xfId="43">
      <alignment horizontal="center"/>
    </xf>
    <xf numFmtId="0" fontId="0" fillId="0" borderId="66" pivotButton="0" quotePrefix="0" xfId="0"/>
    <xf numFmtId="166" fontId="7" fillId="0" borderId="9" applyAlignment="1" pivotButton="0" quotePrefix="0" xfId="43">
      <alignment horizontal="center"/>
    </xf>
    <xf numFmtId="166" fontId="7" fillId="0" borderId="37" applyAlignment="1" pivotButton="0" quotePrefix="0" xfId="43">
      <alignment horizontal="center"/>
    </xf>
    <xf numFmtId="168" fontId="14" fillId="0" borderId="0" applyAlignment="1" pivotButton="0" quotePrefix="0" xfId="37">
      <alignment horizontal="left"/>
    </xf>
    <xf numFmtId="0" fontId="75" fillId="0" borderId="91" applyAlignment="1" pivotButton="0" quotePrefix="0" xfId="0">
      <alignment horizontal="center"/>
    </xf>
    <xf numFmtId="0" fontId="0" fillId="0" borderId="61" pivotButton="0" quotePrefix="0" xfId="0"/>
    <xf numFmtId="0" fontId="0" fillId="0" borderId="65" pivotButton="0" quotePrefix="0" xfId="0"/>
    <xf numFmtId="164" fontId="66" fillId="0" borderId="9" applyAlignment="1" applyProtection="1" pivotButton="0" quotePrefix="0" xfId="0">
      <alignment horizontal="center"/>
      <protection locked="0" hidden="0"/>
    </xf>
    <xf numFmtId="0" fontId="0" fillId="0" borderId="61" applyProtection="1" pivotButton="0" quotePrefix="0" xfId="0">
      <protection locked="0" hidden="0"/>
    </xf>
    <xf numFmtId="164" fontId="2" fillId="5" borderId="9" applyAlignment="1" pivotButton="0" quotePrefix="0" xfId="37">
      <alignment horizontal="right"/>
    </xf>
    <xf numFmtId="164" fontId="2" fillId="5" borderId="9" pivotButton="0" quotePrefix="0" xfId="37"/>
    <xf numFmtId="167" fontId="2" fillId="5" borderId="9" applyAlignment="1" pivotButton="0" quotePrefix="0" xfId="37">
      <alignment horizontal="right"/>
    </xf>
    <xf numFmtId="167" fontId="2" fillId="5" borderId="9" applyAlignment="1" pivotButton="0" quotePrefix="0" xfId="37">
      <alignment horizontal="center"/>
    </xf>
    <xf numFmtId="164" fontId="2" fillId="0" borderId="9" applyAlignment="1" pivotButton="0" quotePrefix="0" xfId="37">
      <alignment horizontal="center" vertical="center"/>
    </xf>
    <xf numFmtId="164" fontId="2" fillId="0" borderId="9" pivotButton="0" quotePrefix="0" xfId="37"/>
    <xf numFmtId="164" fontId="2" fillId="5" borderId="28" applyAlignment="1" pivotButton="0" quotePrefix="0" xfId="37">
      <alignment horizontal="left"/>
    </xf>
    <xf numFmtId="164" fontId="2" fillId="5" borderId="0" applyAlignment="1" pivotButton="0" quotePrefix="0" xfId="37">
      <alignment horizontal="left"/>
    </xf>
  </cellXfs>
  <cellStyles count="51">
    <cellStyle name="Normal" xfId="0" builtinId="0"/>
    <cellStyle name="20% - Accent1" xfId="1" builtinId="30"/>
    <cellStyle name="20% - Accent2" xfId="2" builtinId="34"/>
    <cellStyle name="20% - Accent3" xfId="3" builtinId="38"/>
    <cellStyle name="20% - Accent4" xfId="4" builtinId="42"/>
    <cellStyle name="20% - Accent5" xfId="5" builtinId="46"/>
    <cellStyle name="20% - Accent6" xfId="6" builtinId="50"/>
    <cellStyle name="40% - Accent1" xfId="7" builtinId="31"/>
    <cellStyle name="40% - Accent2" xfId="8" builtinId="35"/>
    <cellStyle name="40% - Accent3" xfId="9" builtinId="39"/>
    <cellStyle name="40% - Accent4" xfId="10" builtinId="43"/>
    <cellStyle name="40% - Accent5" xfId="11" builtinId="47"/>
    <cellStyle name="40% - Accent6" xfId="12" builtinId="51"/>
    <cellStyle name="60% - Accent1" xfId="13" builtinId="32"/>
    <cellStyle name="60% - Accent2" xfId="14" builtinId="36"/>
    <cellStyle name="60% - Accent3" xfId="15" builtinId="40"/>
    <cellStyle name="60% - Accent4" xfId="16" builtinId="44"/>
    <cellStyle name="60% - Accent5" xfId="17" builtinId="48"/>
    <cellStyle name="60% - Accent6" xfId="18" builtinId="52"/>
    <cellStyle name="Accent1" xfId="19" builtinId="29"/>
    <cellStyle name="Accent2" xfId="20" builtinId="33"/>
    <cellStyle name="Accent3" xfId="21" builtinId="37"/>
    <cellStyle name="Accent4" xfId="22" builtinId="41"/>
    <cellStyle name="Accent5" xfId="23" builtinId="45"/>
    <cellStyle name="Accent6" xfId="24" builtinId="49"/>
    <cellStyle name="Bad" xfId="25" builtinId="27"/>
    <cellStyle name="Calculation" xfId="26" builtinId="22"/>
    <cellStyle name="Check Cell" xfId="27" builtinId="23"/>
    <cellStyle name="Explanatory Text" xfId="28" builtinId="53"/>
    <cellStyle name="Good" xfId="29" builtinId="26"/>
    <cellStyle name="Heading 1" xfId="30" builtinId="16"/>
    <cellStyle name="Heading 2" xfId="31" builtinId="17"/>
    <cellStyle name="Heading 3" xfId="32" builtinId="18"/>
    <cellStyle name="Heading 4" xfId="33" builtinId="19"/>
    <cellStyle name="Input" xfId="34" builtinId="20"/>
    <cellStyle name="Linked Cell" xfId="35" builtinId="24"/>
    <cellStyle name="Neutral" xfId="36" builtinId="28"/>
    <cellStyle name="Normal 2" xfId="37"/>
    <cellStyle name="Note" xfId="38" builtinId="10"/>
    <cellStyle name="Note 2" xfId="39"/>
    <cellStyle name="Note 2 2" xfId="40"/>
    <cellStyle name="Note 3" xfId="41"/>
    <cellStyle name="Output" xfId="42" builtinId="21"/>
    <cellStyle name="Percent" xfId="43" builtinId="5"/>
    <cellStyle name="Percent 2" xfId="44"/>
    <cellStyle name="Percent 3" xfId="45"/>
    <cellStyle name="Percent 3 2" xfId="46"/>
    <cellStyle name="Percent 4" xfId="47"/>
    <cellStyle name="Title" xfId="48" builtinId="15"/>
    <cellStyle name="Total" xfId="49" builtinId="25"/>
    <cellStyle name="Warning Text" xfId="50" builtinId="11"/>
  </cellStyles>
  <dxfs count="16">
    <dxf>
      <fill>
        <patternFill>
          <bgColor rgb="FF00B050"/>
        </patternFill>
      </fill>
    </dxf>
    <dxf>
      <fill>
        <patternFill>
          <bgColor rgb="FFFF0000"/>
        </patternFill>
      </fill>
    </dxf>
    <dxf>
      <fill>
        <patternFill>
          <bgColor rgb="FF00B050"/>
        </patternFill>
      </fill>
    </dxf>
    <dxf>
      <fill>
        <patternFill>
          <bgColor rgb="FFFF0000"/>
        </patternFill>
      </fill>
    </dxf>
    <dxf>
      <font>
        <color rgb="FFC00000"/>
      </font>
      <fill>
        <patternFill>
          <bgColor theme="5" tint="0.5999633777886288"/>
        </patternFill>
      </fill>
    </dxf>
    <dxf>
      <fill>
        <patternFill>
          <bgColor theme="6" tint="0.5999633777886288"/>
        </patternFill>
      </fill>
    </dxf>
    <dxf>
      <numFmt numFmtId="1" formatCode="0"/>
    </dxf>
    <dxf>
      <numFmt numFmtId="165" formatCode="0.0"/>
    </dxf>
    <dxf>
      <numFmt numFmtId="165" formatCode="0.0"/>
    </dxf>
    <dxf>
      <numFmt numFmtId="165" formatCode="0.0"/>
    </dxf>
    <dxf>
      <numFmt numFmtId="165" formatCode="0.0"/>
    </dxf>
    <dxf>
      <numFmt numFmtId="165" formatCode="0.0"/>
    </dxf>
    <dxf>
      <numFmt numFmtId="165" formatCode="0.0"/>
    </dxf>
    <dxf>
      <numFmt numFmtId="1" formatCode="0"/>
    </dxf>
    <dxf>
      <fill>
        <patternFill>
          <bgColor theme="0" tint="-0.3499862666707358"/>
        </patternFill>
      </fill>
    </dxf>
    <dxf>
      <fill>
        <patternFill>
          <bgColor rgb="FFFF000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externalLink" Target="/xl/externalLinks/externalLink1.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lstStyle/>
          <a:p>
            <a:pPr>
              <a:defRPr sz="1025" b="1" i="0" strike="noStrike" baseline="0">
                <a:solidFill>
                  <a:srgbClr val="000000"/>
                </a:solidFill>
                <a:latin typeface="Arial"/>
                <a:ea typeface="Arial"/>
                <a:cs typeface="Arial"/>
              </a:defRPr>
            </a:pPr>
            <a:r>
              <a:rPr lang="en-US"/>
              <a:t>Deviation Plot</a:t>
            </a:r>
          </a:p>
        </rich>
      </tx>
      <layout>
        <manualLayout>
          <xMode val="edge"/>
          <yMode val="edge"/>
          <wMode val="factor"/>
          <hMode val="factor"/>
          <x val="0.09205647333299023"/>
          <y val="0.05261154855643045"/>
        </manualLayout>
      </layout>
      <overlay val="0"/>
      <spPr>
        <a:noFill/>
        <a:ln w="25400">
          <a:noFill/>
          <a:prstDash val="solid"/>
        </a:ln>
      </spPr>
    </title>
    <plotArea>
      <layout>
        <manualLayout>
          <layoutTarget val="inner"/>
          <xMode val="edge"/>
          <yMode val="edge"/>
          <wMode val="factor"/>
          <hMode val="factor"/>
          <x val="0.08498439022490993"/>
          <y val="0.1566664409524537"/>
          <w val="0.8781720323240689"/>
          <h val="0.661480528465915"/>
        </manualLayout>
      </layout>
      <scatterChart>
        <scatterStyle val="smoothMarker"/>
        <varyColors val="0"/>
        <ser>
          <idx val="0"/>
          <order val="0"/>
          <spPr>
            <a:ln w="25400">
              <a:solidFill>
                <a:srgbClr val="0000FF"/>
              </a:solidFill>
              <a:prstDash val="solid"/>
            </a:ln>
          </spPr>
          <marker>
            <symbol val="none"/>
            <spPr>
              <a:ln>
                <a:prstDash val="solid"/>
              </a:ln>
            </spPr>
          </marker>
          <xVal>
            <numRef>
              <f>FRData!$A$13:$A$20</f>
            </numRef>
          </xVal>
          <yVal>
            <numRef>
              <f>FRData!$D$13:$D$20</f>
              <numCache>
                <formatCode>0.0</formatCode>
                <ptCount val="8"/>
                <pt idx="0">
                  <v>0</v>
                </pt>
                <pt idx="1">
                  <v>0</v>
                </pt>
                <pt idx="2">
                  <v>0</v>
                </pt>
                <pt idx="3">
                  <v>0</v>
                </pt>
                <pt idx="4">
                  <v>0</v>
                </pt>
                <pt idx="5">
                  <v>0</v>
                </pt>
                <pt idx="6">
                  <v>0</v>
                </pt>
                <pt idx="7">
                  <v>0</v>
                </pt>
              </numCache>
            </numRef>
          </yVal>
          <smooth val="1"/>
        </ser>
        <dLbls>
          <showLegendKey val="0"/>
          <showVal val="0"/>
          <showCatName val="0"/>
          <showSerName val="0"/>
          <showPercent val="0"/>
          <showBubbleSize val="0"/>
        </dLbls>
        <axId val="121667968"/>
        <axId val="121669888"/>
      </scatterChart>
      <valAx>
        <axId val="121667968"/>
        <scaling>
          <logBase val="10"/>
          <orientation val="minMax"/>
          <max val="10000"/>
          <min val="10"/>
        </scaling>
        <delete val="0"/>
        <axPos val="b"/>
        <majorGridlines>
          <spPr>
            <a:ln w="3175">
              <a:solidFill>
                <a:srgbClr val="000000"/>
              </a:solidFill>
              <a:prstDash val="solid"/>
            </a:ln>
          </spPr>
        </majorGridlines>
        <minorGridlines>
          <spPr>
            <a:ln w="3175">
              <a:solidFill>
                <a:srgbClr val="000000"/>
              </a:solidFill>
              <a:prstDash val="solid"/>
            </a:ln>
          </spPr>
        </minorGridlines>
        <title>
          <tx>
            <strRef>
              <f>FRCert!$B$27</f>
              <strCache>
                <ptCount val="1"/>
                <pt idx="0">
                  <v>Frequency ()</v>
                </pt>
              </strCache>
            </strRef>
          </tx>
          <layout>
            <manualLayout>
              <xMode val="edge"/>
              <yMode val="edge"/>
              <wMode val="factor"/>
              <hMode val="factor"/>
              <x val="0.4569015147616352"/>
              <y val="0.8998020559930008"/>
            </manualLayout>
          </layout>
          <overlay val="0"/>
          <spPr>
            <a:noFill/>
            <a:ln w="25400">
              <a:noFill/>
              <a:prstDash val="solid"/>
            </a:ln>
          </spPr>
          <txPr>
            <a:bodyPr/>
            <a:lstStyle/>
            <a:p>
              <a:pPr>
                <a:defRPr sz="975" b="0" i="0" strike="noStrike" baseline="0">
                  <a:solidFill>
                    <a:srgbClr val="000000"/>
                  </a:solidFill>
                  <a:latin typeface="Arial"/>
                  <a:ea typeface="Arial"/>
                  <a:cs typeface="Arial"/>
                </a:defRPr>
              </a:pPr>
              <a:r>
                <a:t/>
              </a:r>
              <a:endParaRPr lang="en-US"/>
            </a:p>
          </txPr>
        </title>
        <numFmt formatCode="General" sourceLinked="1"/>
        <majorTickMark val="out"/>
        <minorTickMark val="none"/>
        <tickLblPos val="low"/>
        <spPr>
          <a:ln w="3175">
            <a:solidFill>
              <a:srgbClr val="000000"/>
            </a:solidFill>
            <a:prstDash val="solid"/>
          </a:ln>
        </spPr>
        <txPr>
          <a:bodyPr rot="0" vert="horz"/>
          <a:lstStyle/>
          <a:p>
            <a:pPr>
              <a:defRPr sz="975" b="0" i="0" strike="noStrike" baseline="0">
                <a:solidFill>
                  <a:srgbClr val="000000"/>
                </a:solidFill>
                <a:latin typeface="Arial"/>
                <a:ea typeface="Arial"/>
                <a:cs typeface="Arial"/>
              </a:defRPr>
            </a:pPr>
            <a:r>
              <a:t/>
            </a:r>
            <a:endParaRPr lang="en-US"/>
          </a:p>
        </txPr>
        <crossAx val="121669888"/>
        <crossesAt val="-100"/>
        <crossBetween val="midCat"/>
      </valAx>
      <valAx>
        <axId val="121669888"/>
        <scaling>
          <orientation val="minMax"/>
          <max val="30"/>
          <min val="-30"/>
        </scaling>
        <delete val="0"/>
        <axPos val="l"/>
        <majorGridlines>
          <spPr>
            <a:ln w="3175">
              <a:solidFill>
                <a:srgbClr val="000000"/>
              </a:solidFill>
              <a:prstDash val="sysDash"/>
            </a:ln>
          </spPr>
        </majorGridlines>
        <title>
          <tx>
            <rich>
              <a:bodyPr/>
              <a:lstStyle/>
              <a:p>
                <a:pPr>
                  <a:defRPr sz="975" b="0" i="0" strike="noStrike" baseline="0">
                    <a:solidFill>
                      <a:srgbClr val="000000"/>
                    </a:solidFill>
                    <a:latin typeface="Arial"/>
                    <a:ea typeface="Arial"/>
                    <a:cs typeface="Arial"/>
                  </a:defRPr>
                </a:pPr>
                <a:r>
                  <a:rPr lang="en-US"/>
                  <a:t>Deviation (%)</a:t>
                </a:r>
              </a:p>
            </rich>
          </tx>
          <layout>
            <manualLayout>
              <xMode val="edge"/>
              <yMode val="edge"/>
              <wMode val="factor"/>
              <hMode val="factor"/>
              <x val="0.00547043384282847"/>
              <y val="0.2801731554389035"/>
            </manualLayout>
          </layout>
          <overlay val="0"/>
          <spPr>
            <a:noFill/>
            <a:ln w="25400">
              <a:noFill/>
              <a:prstDash val="solid"/>
            </a:ln>
          </spPr>
        </title>
        <numFmt formatCode="0.0" sourceLinked="0"/>
        <majorTickMark val="out"/>
        <minorTickMark val="none"/>
        <tickLblPos val="nextTo"/>
        <spPr>
          <a:ln w="3175">
            <a:solidFill>
              <a:srgbClr val="000000"/>
            </a:solidFill>
            <a:prstDash val="solid"/>
          </a:ln>
        </spPr>
        <txPr>
          <a:bodyPr rot="0" vert="horz"/>
          <a:lstStyle/>
          <a:p>
            <a:pPr>
              <a:defRPr sz="975" b="0" i="0" strike="noStrike" baseline="0">
                <a:solidFill>
                  <a:srgbClr val="000000"/>
                </a:solidFill>
                <a:latin typeface="Arial"/>
                <a:ea typeface="Arial"/>
                <a:cs typeface="Arial"/>
              </a:defRPr>
            </a:pPr>
            <a:r>
              <a:t/>
            </a:r>
            <a:endParaRPr lang="en-US"/>
          </a:p>
        </txPr>
        <crossAx val="121667968"/>
        <crossesAt val="0.1"/>
        <crossBetween val="midCat"/>
        <majorUnit val="5"/>
      </valAx>
    </plotArea>
    <plotVisOnly val="1"/>
    <dispBlanksAs val="gap"/>
  </chart>
  <spPr>
    <a:noFill/>
    <a:ln w="9525">
      <a:noFill/>
      <a:prstDash val="soli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1196705426356589"/>
          <y val="0.05622532123243631"/>
          <w val="0.8464153390709882"/>
          <h val="0.6706853613099324"/>
        </manualLayout>
      </layout>
      <scatterChart>
        <scatterStyle val="lineMarker"/>
        <varyColors val="0"/>
        <ser>
          <idx val="0"/>
          <order val="0"/>
          <spPr>
            <a:ln w="28575">
              <a:noFill/>
              <a:prstDash val="solid"/>
            </a:ln>
          </spPr>
          <marker>
            <symbol val="star"/>
            <size val="4"/>
            <spPr>
              <a:noFill/>
              <a:ln>
                <a:solidFill>
                  <a:srgbClr val="002060"/>
                </a:solidFill>
                <a:prstDash val="solid"/>
              </a:ln>
            </spPr>
          </marker>
          <xVal>
            <strRef>
              <f>'Linfit Worksheet'!$C$3:$C$4</f>
              <strCache>
                <ptCount val="1"/>
                <pt idx="0">
                  <v>0,000</v>
                </pt>
              </strCache>
            </strRef>
          </xVal>
          <yVal>
            <numRef>
              <f>'Linfit Worksheet'!$D$3:$D$4</f>
              <numCache>
                <formatCode>0.000</formatCode>
                <ptCount val="2"/>
                <pt idx="1">
                  <v>0</v>
                </pt>
              </numCache>
            </numRef>
          </yVal>
          <smooth val="0"/>
        </ser>
        <ser>
          <idx val="1"/>
          <order val="1"/>
          <spPr>
            <a:ln w="12700">
              <a:solidFill>
                <a:srgbClr val="0000FF"/>
              </a:solidFill>
              <a:prstDash val="solid"/>
            </a:ln>
          </spPr>
          <marker>
            <symbol val="star"/>
            <size val="6"/>
            <spPr>
              <a:noFill/>
              <a:ln>
                <a:solidFill>
                  <a:srgbClr val="0000FF"/>
                </a:solidFill>
                <a:prstDash val="solid"/>
              </a:ln>
            </spPr>
          </marker>
          <xVal>
            <strRef>
              <f>'Linfit Worksheet'!$C$3:$C$4</f>
              <strCache>
                <ptCount val="1"/>
                <pt idx="0">
                  <v>0,000</v>
                </pt>
              </strCache>
            </strRef>
          </xVal>
          <yVal>
            <numRef>
              <f>'Linfit Worksheet'!$E$3:$E$4</f>
              <numCache>
                <formatCode>0.0000</formatCode>
                <ptCount val="2"/>
                <pt idx="0">
                  <formatCode>0.00</formatCode>
                  <v>0</v>
                </pt>
                <pt idx="1">
                  <v>0</v>
                </pt>
              </numCache>
            </numRef>
          </yVal>
          <smooth val="0"/>
        </ser>
        <dLbls>
          <showLegendKey val="0"/>
          <showVal val="0"/>
          <showCatName val="0"/>
          <showSerName val="0"/>
          <showPercent val="0"/>
          <showBubbleSize val="0"/>
        </dLbls>
        <axId val="133173632"/>
        <axId val="133175552"/>
      </scatterChart>
      <valAx>
        <axId val="133173632"/>
        <scaling>
          <orientation val="minMax"/>
          <min val="0"/>
        </scaling>
        <delete val="0"/>
        <axPos val="b"/>
        <majorGridlines/>
        <numFmt formatCode="0.0" sourceLinked="0"/>
        <majorTickMark val="out"/>
        <minorTickMark val="none"/>
        <tickLblPos val="nextTo"/>
        <txPr>
          <a:bodyPr rot="0" vert="horz"/>
          <a:lstStyle/>
          <a:p>
            <a:pPr>
              <a:defRPr sz="1000" b="0" i="0" strike="noStrike" baseline="0">
                <a:solidFill>
                  <a:srgbClr val="000000"/>
                </a:solidFill>
                <a:latin typeface="Calibri"/>
                <a:ea typeface="Calibri"/>
                <a:cs typeface="Calibri"/>
              </a:defRPr>
            </a:pPr>
            <a:r>
              <a:t/>
            </a:r>
            <a:endParaRPr lang="en-US"/>
          </a:p>
        </txPr>
        <crossAx val="133175552"/>
        <crosses val="autoZero"/>
        <crossBetween val="midCat"/>
      </valAx>
      <valAx>
        <axId val="133175552"/>
        <scaling>
          <orientation val="minMax"/>
          <min val="0"/>
        </scaling>
        <delete val="0"/>
        <axPos val="l"/>
        <majorGridlines/>
        <title>
          <tx>
            <rich>
              <a:bodyPr/>
              <a:lstStyle/>
              <a:p>
                <a:pPr>
                  <a:defRPr sz="1000" b="1" i="0" strike="noStrike" baseline="0">
                    <a:solidFill>
                      <a:srgbClr val="000000"/>
                    </a:solidFill>
                    <a:latin typeface="Calibri"/>
                    <a:ea typeface="Calibri"/>
                    <a:cs typeface="Calibri"/>
                  </a:defRPr>
                </a:pPr>
                <a:r>
                  <a:rPr lang="en-US"/>
                  <a:t>Amplitude ()</a:t>
                </a:r>
              </a:p>
            </rich>
          </tx>
          <layout>
            <manualLayout>
              <xMode val="edge"/>
              <yMode val="edge"/>
              <wMode val="factor"/>
              <hMode val="factor"/>
              <x val="0.007953671488738328"/>
              <y val="0.246480936870843"/>
            </manualLayout>
          </layout>
          <overlay val="0"/>
          <spPr>
            <a:noFill/>
            <a:ln w="25400">
              <a:noFill/>
              <a:prstDash val="solid"/>
            </a:ln>
          </spPr>
        </title>
        <numFmt formatCode="0.0" sourceLinked="0"/>
        <majorTickMark val="out"/>
        <minorTickMark val="none"/>
        <tickLblPos val="nextTo"/>
        <txPr>
          <a:bodyPr rot="0" vert="horz"/>
          <a:lstStyle/>
          <a:p>
            <a:pPr>
              <a:defRPr sz="1000" b="0" i="0" strike="noStrike" baseline="0">
                <a:solidFill>
                  <a:srgbClr val="000000"/>
                </a:solidFill>
                <a:latin typeface="Calibri"/>
                <a:ea typeface="Calibri"/>
                <a:cs typeface="Calibri"/>
              </a:defRPr>
            </a:pPr>
            <a:r>
              <a:t/>
            </a:r>
            <a:endParaRPr lang="en-US"/>
          </a:p>
        </txPr>
        <crossAx val="133173632"/>
        <crosses val="autoZero"/>
        <crossBetween val="midCat"/>
      </valAx>
    </plotArea>
    <plotVisOnly val="1"/>
    <dispBlanksAs val="gap"/>
  </chart>
  <spPr>
    <a:ln>
      <a:noFill/>
      <a:prstDash val="solid"/>
    </a:ln>
  </spPr>
</chartSpace>
</file>

<file path=xl/charts/chart3.xml><?xml version="1.0" encoding="utf-8"?>
<chartSpace xmlns:a="http://schemas.openxmlformats.org/drawingml/2006/main" xmlns="http://schemas.openxmlformats.org/drawingml/2006/chart">
  <chart>
    <plotArea>
      <layout>
        <manualLayout>
          <layoutTarget val="inner"/>
          <xMode val="edge"/>
          <yMode val="edge"/>
          <wMode val="factor"/>
          <hMode val="factor"/>
          <x val="0.1223854205479807"/>
          <y val="0.128"/>
          <w val="0.8427854767222237"/>
          <h val="0.676"/>
        </manualLayout>
      </layout>
      <scatterChart>
        <scatterStyle val="lineMarker"/>
        <varyColors val="0"/>
        <ser>
          <idx val="0"/>
          <order val="0"/>
          <spPr>
            <a:ln w="28575">
              <a:noFill/>
              <a:prstDash val="solid"/>
            </a:ln>
          </spPr>
          <marker>
            <symbol val="star"/>
            <size val="5"/>
            <spPr>
              <a:noFill/>
              <a:ln>
                <a:solidFill>
                  <a:schemeClr val="tx1"/>
                </a:solidFill>
                <a:prstDash val="solid"/>
              </a:ln>
            </spPr>
          </marker>
          <xVal>
            <numRef>
              <f>'Linfit Worksheet'!$K$3</f>
            </numRef>
          </xVal>
          <yVal>
            <numRef>
              <f>'Linfit Worksheet'!$L$3</f>
              <numCache>
                <formatCode>General</formatCode>
                <ptCount val="1"/>
                <pt idx="0">
                  <v>0</v>
                </pt>
              </numCache>
            </numRef>
          </yVal>
          <smooth val="0"/>
        </ser>
        <ser>
          <idx val="1"/>
          <order val="1"/>
          <spPr>
            <a:ln w="12700">
              <a:solidFill>
                <a:srgbClr val="0000FF"/>
              </a:solidFill>
              <a:prstDash val="solid"/>
            </a:ln>
          </spPr>
          <marker>
            <symbol val="star"/>
            <size val="6"/>
            <spPr>
              <a:noFill/>
              <a:ln>
                <a:solidFill>
                  <a:srgbClr val="0000FF"/>
                </a:solidFill>
                <a:prstDash val="solid"/>
              </a:ln>
            </spPr>
          </marker>
          <xVal>
            <numRef>
              <f>'Linfit Worksheet'!$K$3</f>
            </numRef>
          </xVal>
          <yVal>
            <numRef>
              <f>'Linfit Worksheet'!$M$3</f>
              <numCache>
                <formatCode>General</formatCode>
                <ptCount val="1"/>
                <pt idx="0">
                  <v>0</v>
                </pt>
              </numCache>
            </numRef>
          </yVal>
          <smooth val="0"/>
        </ser>
        <dLbls>
          <showLegendKey val="0"/>
          <showVal val="0"/>
          <showCatName val="0"/>
          <showSerName val="0"/>
          <showPercent val="0"/>
          <showBubbleSize val="0"/>
        </dLbls>
        <axId val="135278592"/>
        <axId val="135280896"/>
      </scatterChart>
      <valAx>
        <axId val="135278592"/>
        <scaling>
          <orientation val="minMax"/>
          <min val="0"/>
        </scaling>
        <delete val="0"/>
        <axPos val="t"/>
        <majorGridlines/>
        <title>
          <tx>
            <rich>
              <a:bodyPr/>
              <a:lstStyle/>
              <a:p>
                <a:pPr>
                  <a:defRPr sz="1000" b="1" i="0" strike="noStrike" baseline="0">
                    <a:solidFill>
                      <a:srgbClr val="000000"/>
                    </a:solidFill>
                    <a:latin typeface="Calibri"/>
                    <a:ea typeface="Calibri"/>
                    <a:cs typeface="Calibri"/>
                  </a:defRPr>
                </a:pPr>
                <a:r>
                  <a:rPr lang="en-US"/>
                  <a:t>Acceleration g pk</a:t>
                </a:r>
              </a:p>
            </rich>
          </tx>
          <layout>
            <manualLayout>
              <xMode val="edge"/>
              <yMode val="edge"/>
              <wMode val="factor"/>
              <hMode val="factor"/>
              <x val="0.446680344534398"/>
              <y val="0.876"/>
            </manualLayout>
          </layout>
          <overlay val="0"/>
          <spPr>
            <a:noFill/>
            <a:ln w="25400">
              <a:noFill/>
              <a:prstDash val="solid"/>
            </a:ln>
          </spPr>
        </title>
        <numFmt formatCode="0.0" sourceLinked="0"/>
        <majorTickMark val="out"/>
        <minorTickMark val="none"/>
        <tickLblPos val="nextTo"/>
        <txPr>
          <a:bodyPr rot="0" vert="horz"/>
          <a:lstStyle/>
          <a:p>
            <a:pPr>
              <a:defRPr sz="1000" b="0" i="0" strike="noStrike" baseline="0">
                <a:solidFill>
                  <a:srgbClr val="000000"/>
                </a:solidFill>
                <a:latin typeface="Calibri"/>
                <a:ea typeface="Calibri"/>
                <a:cs typeface="Calibri"/>
              </a:defRPr>
            </a:pPr>
            <a:r>
              <a:t/>
            </a:r>
            <a:endParaRPr lang="en-US"/>
          </a:p>
        </txPr>
        <crossAx val="135280896"/>
        <crosses val="max"/>
        <crossBetween val="midCat"/>
      </valAx>
      <valAx>
        <axId val="135280896"/>
        <scaling>
          <orientation val="minMax"/>
          <min val="0"/>
        </scaling>
        <delete val="0"/>
        <axPos val="l"/>
        <majorGridlines/>
        <title>
          <tx>
            <rich>
              <a:bodyPr/>
              <a:lstStyle/>
              <a:p>
                <a:pPr>
                  <a:defRPr sz="1000" b="1" i="0" strike="noStrike" baseline="0">
                    <a:solidFill>
                      <a:srgbClr val="000000"/>
                    </a:solidFill>
                    <a:latin typeface="Calibri"/>
                    <a:ea typeface="Calibri"/>
                    <a:cs typeface="Calibri"/>
                  </a:defRPr>
                </a:pPr>
                <a:r>
                  <a:rPr lang="en-US"/>
                  <a:t>Amplitude (mV)</a:t>
                </a:r>
              </a:p>
            </rich>
          </tx>
          <layout>
            <manualLayout>
              <xMode val="edge"/>
              <yMode val="edge"/>
              <wMode val="factor"/>
              <hMode val="factor"/>
              <x val="0.005523055216689464"/>
              <y val="0.29505343832021"/>
            </manualLayout>
          </layout>
          <overlay val="0"/>
          <spPr>
            <a:noFill/>
            <a:ln w="25400">
              <a:noFill/>
              <a:prstDash val="solid"/>
            </a:ln>
          </spPr>
        </title>
        <numFmt formatCode="0.00" sourceLinked="0"/>
        <majorTickMark val="out"/>
        <minorTickMark val="none"/>
        <tickLblPos val="nextTo"/>
        <txPr>
          <a:bodyPr rot="0" vert="horz"/>
          <a:lstStyle/>
          <a:p>
            <a:pPr>
              <a:defRPr sz="1000" b="0" i="0" strike="noStrike" baseline="0">
                <a:solidFill>
                  <a:srgbClr val="000000"/>
                </a:solidFill>
                <a:latin typeface="Calibri"/>
                <a:ea typeface="Calibri"/>
                <a:cs typeface="Calibri"/>
              </a:defRPr>
            </a:pPr>
            <a:r>
              <a:t/>
            </a:r>
            <a:endParaRPr lang="en-US"/>
          </a:p>
        </txPr>
        <crossAx val="135278592"/>
        <crosses val="autoZero"/>
        <crossBetween val="midCat"/>
      </valAx>
    </plotArea>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lstStyle/>
          <a:p>
            <a:pPr>
              <a:defRPr sz="900" b="1" i="0" strike="noStrike" baseline="0">
                <a:solidFill>
                  <a:srgbClr val="000000"/>
                </a:solidFill>
                <a:latin typeface="Arial"/>
                <a:ea typeface="Arial"/>
                <a:cs typeface="Arial"/>
              </a:defRPr>
            </a:pPr>
            <a:r>
              <a:rPr lang="en-US" sz="900"/>
              <a:t>Frequency Deviation</a:t>
            </a:r>
          </a:p>
        </rich>
      </tx>
      <layout>
        <manualLayout>
          <xMode val="edge"/>
          <yMode val="edge"/>
          <wMode val="factor"/>
          <hMode val="factor"/>
          <x val="0.03253265216847893"/>
          <y val="0.03872265966754156"/>
        </manualLayout>
      </layout>
      <overlay val="0"/>
      <spPr>
        <a:noFill/>
        <a:ln w="25400">
          <a:noFill/>
          <a:prstDash val="solid"/>
        </a:ln>
      </spPr>
    </title>
    <plotArea>
      <layout>
        <manualLayout>
          <layoutTarget val="inner"/>
          <xMode val="edge"/>
          <yMode val="edge"/>
          <wMode val="factor"/>
          <hMode val="factor"/>
          <x val="0.1042745090891417"/>
          <y val="0.1566664409524537"/>
          <w val="0.8588819626713328"/>
          <h val="0.6244433508311461"/>
        </manualLayout>
      </layout>
      <scatterChart>
        <scatterStyle val="smoothMarker"/>
        <varyColors val="0"/>
        <ser>
          <idx val="0"/>
          <order val="0"/>
          <spPr>
            <a:ln w="12700">
              <a:solidFill>
                <a:srgbClr val="0000FF"/>
              </a:solidFill>
              <a:prstDash val="solid"/>
            </a:ln>
          </spPr>
          <marker>
            <symbol val="x"/>
            <size val="8"/>
            <spPr>
              <a:ln w="19050">
                <a:solidFill>
                  <a:srgbClr val="0000FF"/>
                </a:solidFill>
                <a:prstDash val="solid"/>
              </a:ln>
            </spPr>
          </marker>
          <xVal>
            <numRef>
              <f>'Vib Analyzer Data'!$C$26:$C$40</f>
              <numCache>
                <formatCode>General</formatCode>
                <ptCount val="15"/>
                <pt idx="0">
                  <v>50</v>
                </pt>
                <pt idx="1">
                  <v>50</v>
                </pt>
                <pt idx="2">
                  <v>50</v>
                </pt>
                <pt idx="3">
                  <v>50</v>
                </pt>
                <pt idx="4">
                  <v>50</v>
                </pt>
                <pt idx="5">
                  <v>50</v>
                </pt>
                <pt idx="6">
                  <v>50</v>
                </pt>
                <pt idx="8">
                  <v>10</v>
                </pt>
                <pt idx="9">
                  <v>20</v>
                </pt>
                <pt idx="10">
                  <v>30</v>
                </pt>
                <pt idx="11">
                  <v>50</v>
                </pt>
                <pt idx="12">
                  <v>60</v>
                </pt>
                <pt idx="13">
                  <v>95</v>
                </pt>
              </numCache>
            </numRef>
          </xVal>
          <yVal>
            <numRef>
              <f>'Vib Analyzer Data'!$H$26:$H$40</f>
              <numCache>
                <formatCode>0.00</formatCode>
                <ptCount val="15"/>
                <pt idx="0">
                  <v>0</v>
                </pt>
                <pt idx="1">
                  <v>0</v>
                </pt>
                <pt idx="2">
                  <v>0</v>
                </pt>
                <pt idx="3">
                  <v>0</v>
                </pt>
                <pt idx="4">
                  <v>0</v>
                </pt>
                <pt idx="5">
                  <v>0</v>
                </pt>
                <pt idx="6">
                  <v>0</v>
                </pt>
                <pt idx="7">
                  <v>0</v>
                </pt>
                <pt idx="8">
                  <v>0</v>
                </pt>
                <pt idx="9">
                  <v>0</v>
                </pt>
                <pt idx="10">
                  <v>0</v>
                </pt>
                <pt idx="11">
                  <v>0</v>
                </pt>
                <pt idx="12">
                  <v>0</v>
                </pt>
                <pt idx="13">
                  <v>0</v>
                </pt>
                <pt idx="14">
                  <v>0</v>
                </pt>
              </numCache>
            </numRef>
          </yVal>
          <smooth val="1"/>
        </ser>
        <dLbls>
          <showLegendKey val="0"/>
          <showVal val="0"/>
          <showCatName val="0"/>
          <showSerName val="0"/>
          <showPercent val="0"/>
          <showBubbleSize val="0"/>
        </dLbls>
        <axId val="121667968"/>
        <axId val="121669888"/>
      </scatterChart>
      <valAx>
        <axId val="121667968"/>
        <scaling>
          <logBase val="10"/>
          <orientation val="minMax"/>
          <max val="100"/>
          <min val="10"/>
        </scaling>
        <delete val="0"/>
        <axPos val="b"/>
        <majorGridlines>
          <spPr>
            <a:ln w="3175">
              <a:solidFill>
                <a:srgbClr val="000000"/>
              </a:solidFill>
              <a:prstDash val="solid"/>
            </a:ln>
          </spPr>
        </majorGridlines>
        <minorGridlines>
          <spPr>
            <a:ln w="3175">
              <a:noFill/>
              <a:prstDash val="solid"/>
            </a:ln>
          </spPr>
        </minorGridlines>
        <title>
          <tx>
            <rich>
              <a:bodyPr/>
              <a:lstStyle/>
              <a:p>
                <a:pPr>
                  <a:defRPr sz="900"/>
                </a:pPr>
                <a:r>
                  <a:rPr lang="en-US" sz="900"/>
                  <a:t>Frequency (Hz)</a:t>
                </a:r>
              </a:p>
            </rich>
          </tx>
          <overlay val="0"/>
        </title>
        <numFmt formatCode="General" sourceLinked="1"/>
        <majorTickMark val="out"/>
        <minorTickMark val="none"/>
        <tickLblPos val="low"/>
        <spPr>
          <a:ln w="3175">
            <a:solidFill>
              <a:srgbClr val="000000"/>
            </a:solidFill>
            <a:prstDash val="solid"/>
          </a:ln>
        </spPr>
        <txPr>
          <a:bodyPr rot="0" vert="horz"/>
          <a:lstStyle/>
          <a:p>
            <a:pPr>
              <a:defRPr sz="975" b="0" i="0" strike="noStrike" baseline="0">
                <a:solidFill>
                  <a:srgbClr val="000000"/>
                </a:solidFill>
                <a:latin typeface="Arial"/>
                <a:ea typeface="Arial"/>
                <a:cs typeface="Arial"/>
              </a:defRPr>
            </a:pPr>
            <a:r>
              <a:t/>
            </a:r>
            <a:endParaRPr lang="en-US"/>
          </a:p>
        </txPr>
        <crossAx val="121669888"/>
        <crossesAt val="-100"/>
        <crossBetween val="midCat"/>
      </valAx>
      <valAx>
        <axId val="121669888"/>
        <scaling>
          <orientation val="minMax"/>
          <max val="3"/>
          <min val="-3"/>
        </scaling>
        <delete val="0"/>
        <axPos val="l"/>
        <majorGridlines>
          <spPr>
            <a:ln w="3175">
              <a:solidFill>
                <a:srgbClr val="000000"/>
              </a:solidFill>
              <a:prstDash val="sysDash"/>
            </a:ln>
          </spPr>
        </majorGridlines>
        <title>
          <tx>
            <rich>
              <a:bodyPr/>
              <a:lstStyle/>
              <a:p>
                <a:pPr>
                  <a:defRPr sz="900" b="0" i="0" strike="noStrike" baseline="0">
                    <a:solidFill>
                      <a:srgbClr val="000000"/>
                    </a:solidFill>
                    <a:latin typeface="Arial"/>
                    <a:ea typeface="Arial"/>
                    <a:cs typeface="Arial"/>
                  </a:defRPr>
                </a:pPr>
                <a:r>
                  <a:rPr lang="en-US" sz="900"/>
                  <a:t>% Deviation</a:t>
                </a:r>
              </a:p>
            </rich>
          </tx>
          <layout>
            <manualLayout>
              <xMode val="edge"/>
              <yMode val="edge"/>
              <wMode val="factor"/>
              <hMode val="factor"/>
              <x val="0.0152320353895157"/>
              <y val="0.3542471253593301"/>
            </manualLayout>
          </layout>
          <overlay val="0"/>
          <spPr>
            <a:noFill/>
            <a:ln w="25400">
              <a:noFill/>
              <a:prstDash val="solid"/>
            </a:ln>
          </spPr>
        </title>
        <numFmt formatCode="#,##0.00" sourceLinked="0"/>
        <majorTickMark val="out"/>
        <minorTickMark val="none"/>
        <tickLblPos val="nextTo"/>
        <spPr>
          <a:ln w="3175">
            <a:solidFill>
              <a:srgbClr val="000000"/>
            </a:solidFill>
            <a:prstDash val="solid"/>
          </a:ln>
        </spPr>
        <txPr>
          <a:bodyPr rot="0" vert="horz"/>
          <a:lstStyle/>
          <a:p>
            <a:pPr>
              <a:defRPr sz="975" b="0" i="0" strike="noStrike" baseline="0">
                <a:solidFill>
                  <a:srgbClr val="000000"/>
                </a:solidFill>
                <a:latin typeface="Arial"/>
                <a:ea typeface="Arial"/>
                <a:cs typeface="Arial"/>
              </a:defRPr>
            </a:pPr>
            <a:r>
              <a:t/>
            </a:r>
            <a:endParaRPr lang="en-US"/>
          </a:p>
        </txPr>
        <crossAx val="121667968"/>
        <crosses val="autoZero"/>
        <crossBetween val="midCat"/>
      </valAx>
    </plotArea>
    <plotVisOnly val="1"/>
    <dispBlanksAs val="gap"/>
  </chart>
  <spPr>
    <a:noFill/>
    <a:ln w="9525">
      <a:noFill/>
      <a:prstDash val="solid"/>
    </a:ln>
  </spPr>
</chartSpace>
</file>

<file path=xl/comments/comment1.xml><?xml version="1.0" encoding="utf-8"?>
<comments xmlns="http://schemas.openxmlformats.org/spreadsheetml/2006/main">
  <authors>
    <author>Chip Baxter</author>
  </authors>
  <commentList>
    <comment ref="D8" authorId="0" shapeId="0">
      <text>
        <t>When Hard Limit, Lower and Upper Bounds are percentage deviation from Nominal Sens.
When ISO, Lower and Upper Bounds are percentage from the calculated SUT sensitivty at reference frequency. The first test point is the reference frequency, whose bounds are calculated as percentage deviation from Nominal Sens.
Do not use ISO for sensors that are tested for linearity such as proximity probes.</t>
      </text>
    </comment>
    <comment ref="A15" authorId="0" shapeId="0">
      <text>
        <t>In ISO route type, this is the reference frequency. All other bounds will be based on the sensitivity derived here.</t>
      </text>
    </comment>
  </commentList>
</comments>
</file>

<file path=xl/comments/comment2.xml><?xml version="1.0" encoding="utf-8"?>
<comments xmlns="http://schemas.openxmlformats.org/spreadsheetml/2006/main">
  <authors>
    <author>Sang Kim</author>
  </authors>
  <commentList>
    <comment ref="B15" authorId="0" shapeId="0">
      <text>
        <t>As Found: N/A
As Found: In Tolerance
As Found: Out of Telerance</t>
      </text>
    </comment>
    <comment ref="B16" authorId="0" shapeId="0">
      <text>
        <t>As Left: In Tolerance
As Left: Out of Tolerance</t>
      </text>
    </comment>
    <comment ref="E49" authorId="0" shapeId="0">
      <text>
        <t>As Found: N/A
As Found: In Tolerance
As Found: Out of Telerance</t>
      </text>
    </comment>
    <comment ref="E50" authorId="0" shapeId="0">
      <text>
        <t>As Left: In Tolerance
As Left: Out of Tolerance</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chart" Target="/xl/charts/chart1.xml" Id="rId1" /></Relationships>
</file>

<file path=xl/drawings/_rels/drawing5.xml.rels><Relationships xmlns="http://schemas.openxmlformats.org/package/2006/relationships"><Relationship Type="http://schemas.openxmlformats.org/officeDocument/2006/relationships/chart" Target="/xl/charts/chart2.xml" Id="rId1" /></Relationships>
</file>

<file path=xl/drawings/_rels/drawing6.xml.rels><Relationships xmlns="http://schemas.openxmlformats.org/package/2006/relationships"><Relationship Type="http://schemas.openxmlformats.org/officeDocument/2006/relationships/chart" Target="/xl/charts/chart3.xml" Id="rId1" /></Relationships>
</file>

<file path=xl/drawings/_rels/drawing7.xml.rels><Relationships xmlns="http://schemas.openxmlformats.org/package/2006/relationships"><Relationship Type="http://schemas.openxmlformats.org/officeDocument/2006/relationships/chart" Target="/xl/charts/chart4.xml"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594360</colOff>
      <row>0</row>
      <rowOff>0</rowOff>
    </from>
    <to>
      <col>1</col>
      <colOff>1473961</colOff>
      <row>2</row>
      <rowOff>201225</rowOff>
    </to>
    <pic>
      <nvPicPr>
        <cNvPr id="4" name="Picture 3"/>
        <cNvPicPr>
          <a:picLocks noChangeAspect="1"/>
        </cNvPicPr>
      </nvPicPr>
      <blipFill>
        <a:blip r:embed="rId1"/>
        <a:stretch>
          <a:fillRect/>
        </a:stretch>
      </blipFill>
      <spPr>
        <a:xfrm>
          <a:off x="594360" y="0"/>
          <a:ext cx="2914141" cy="658425"/>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0</col>
      <colOff>770466</colOff>
      <row>0</row>
      <rowOff>16934</rowOff>
    </from>
    <to>
      <col>2</col>
      <colOff>1109384</colOff>
      <row>2</row>
      <rowOff>218159</rowOff>
    </to>
    <pic>
      <nvPicPr>
        <cNvPr id="5" name="Picture 4"/>
        <cNvPicPr>
          <a:picLocks noChangeAspect="1"/>
        </cNvPicPr>
      </nvPicPr>
      <blipFill>
        <a:blip r:embed="rId1"/>
        <a:stretch>
          <a:fillRect/>
        </a:stretch>
      </blipFill>
      <spPr>
        <a:xfrm>
          <a:off x="770466" y="16934"/>
          <a:ext cx="2895851" cy="658425"/>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251460</colOff>
      <row>0</row>
      <rowOff>38100</rowOff>
    </from>
    <to>
      <col>1</col>
      <colOff>1461768</colOff>
      <row>3</row>
      <rowOff>4629</rowOff>
    </to>
    <pic>
      <nvPicPr>
        <cNvPr id="2" name="Picture 1"/>
        <cNvPicPr>
          <a:picLocks noChangeAspect="1"/>
        </cNvPicPr>
      </nvPicPr>
      <blipFill>
        <a:blip r:embed="rId1"/>
        <a:stretch>
          <a:fillRect/>
        </a:stretch>
      </blipFill>
      <spPr>
        <a:xfrm>
          <a:off x="251460" y="38100"/>
          <a:ext cx="2901948" cy="652329"/>
        </a:xfrm>
        <a:prstGeom prst="rect">
          <avLst/>
        </a:prstGeom>
        <a:ln>
          <a:prstDash val="solid"/>
        </a:ln>
      </spPr>
    </pic>
    <clientData/>
  </two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col>
      <colOff>0</colOff>
      <row>9</row>
      <rowOff>0</rowOff>
    </from>
    <to>
      <col>11</col>
      <colOff>590550</colOff>
      <row>25</row>
      <rowOff>0</rowOff>
    </to>
    <graphicFrame>
      <nvGraphicFramePr>
        <cNvPr id="1" name="Chart 1"/>
        <cNvGraphicFramePr/>
      </nvGraphicFramePr>
      <xfrm/>
      <a:graphic>
        <a:graphicData uri="http://schemas.openxmlformats.org/drawingml/2006/chart">
          <c:chart r:id="rId1"/>
        </a:graphicData>
      </a:graphic>
    </graphicFrame>
    <clientData fLocksWithSheet="0"/>
  </two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28575</colOff>
      <row>10</row>
      <rowOff>47625</rowOff>
    </from>
    <to>
      <col>28</col>
      <colOff>161925</colOff>
      <row>24</row>
      <rowOff>152400</rowOff>
    </to>
    <graphicFrame>
      <nvGraphicFramePr>
        <cNvPr id="1" name="Chart 1"/>
        <cNvGraphicFramePr/>
      </nvGraphicFramePr>
      <xfrm/>
      <a:graphic>
        <a:graphicData uri="http://schemas.openxmlformats.org/drawingml/2006/chart">
          <c:chart r:id="rId1"/>
        </a:graphicData>
      </a:graphic>
    </graphicFrame>
    <clientData fLocksWithSheet="0"/>
  </two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85725</colOff>
      <row>10</row>
      <rowOff>47625</rowOff>
    </from>
    <to>
      <col>28</col>
      <colOff>158115</colOff>
      <row>25</row>
      <rowOff>0</rowOff>
    </to>
    <graphicFrame>
      <nvGraphicFramePr>
        <cNvPr id="1" name="Chart 1"/>
        <cNvGraphicFramePr/>
      </nvGraphicFramePr>
      <xfrm/>
      <a:graphic>
        <a:graphicData uri="http://schemas.openxmlformats.org/drawingml/2006/chart">
          <c:chart r:id="rId1"/>
        </a:graphicData>
      </a:graphic>
    </graphicFrame>
    <clientData fLocksWithSheet="0"/>
  </two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absolute">
    <from>
      <col>0</col>
      <colOff>57149</colOff>
      <row>17</row>
      <rowOff>14287</rowOff>
    </from>
    <to>
      <col>14</col>
      <colOff>257174</colOff>
      <row>30</row>
      <rowOff>126682</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I:\Engineering\Product%20Release\9155\9155%20Version%204.12.3%20(KLM)\Distribute%20with%20Product\Default%20CD\Excel\9155C%20Excel%20Report.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Freq"/>
      <sheetName val="Freq_Reso"/>
      <sheetName val="Linearity"/>
      <sheetName val="Linearity2"/>
      <sheetName val="Shock"/>
      <sheetName val="Pressure"/>
      <sheetName val="Verification"/>
      <sheetName val="Freq_Equip"/>
      <sheetName val="Lin_Equip"/>
      <sheetName val="Shock_Equip"/>
      <sheetName val="Data"/>
      <sheetName val="Data2"/>
    </sheetNames>
    <sheetDataSet>
      <sheetData sheetId="0"/>
      <sheetData sheetId="1"/>
      <sheetData sheetId="2"/>
      <sheetData sheetId="3"/>
      <sheetData sheetId="4"/>
      <sheetData sheetId="5"/>
      <sheetData sheetId="6"/>
      <sheetData sheetId="7"/>
      <sheetData sheetId="8"/>
      <sheetData sheetId="9"/>
      <sheetData sheetId="10">
        <row r="1">
          <cell r="C1">
            <v>2</v>
          </cell>
          <cell r="E1">
            <v>2</v>
          </cell>
        </row>
        <row r="2">
          <cell r="B2" t="str">
            <v>~Calibration Certificate~</v>
          </cell>
        </row>
        <row r="3">
          <cell r="A3" t="str">
            <v>PCB</v>
          </cell>
        </row>
        <row r="4">
          <cell r="A4" t="str">
            <v>352A78</v>
          </cell>
        </row>
        <row r="5">
          <cell r="A5">
            <v>36134</v>
          </cell>
        </row>
        <row r="7">
          <cell r="A7" t="str">
            <v>ICP® Accelerometer</v>
          </cell>
        </row>
        <row r="16">
          <cell r="A16">
            <v>50000</v>
          </cell>
          <cell r="B16" t="str">
            <v>Hz</v>
          </cell>
        </row>
        <row r="18">
          <cell r="B18" t="str">
            <v>Chip Baxter</v>
          </cell>
        </row>
        <row r="22">
          <cell r="A22">
            <v>40140</v>
          </cell>
          <cell r="B22">
            <v>40505</v>
          </cell>
        </row>
        <row r="24">
          <cell r="B24" t="str">
            <v>Uni-Axial</v>
          </cell>
        </row>
        <row r="28">
          <cell r="C28" t="str">
            <v>In Tolerance</v>
          </cell>
        </row>
        <row r="29">
          <cell r="C29" t="str">
            <v>In Tolerance</v>
          </cell>
        </row>
        <row r="30">
          <cell r="A30">
            <v>23.33333</v>
          </cell>
          <cell r="B30" t="str">
            <v>°C</v>
          </cell>
          <cell r="C30">
            <v>74</v>
          </cell>
          <cell r="D30" t="str">
            <v>°F</v>
          </cell>
        </row>
        <row r="31">
          <cell r="A31">
            <v>0</v>
          </cell>
          <cell r="B31" t="str">
            <v>%</v>
          </cell>
        </row>
        <row r="33">
          <cell r="A33">
            <v>50</v>
          </cell>
          <cell r="B33" t="str">
            <v>g</v>
          </cell>
        </row>
        <row r="34">
          <cell r="A34">
            <v>1.0000359999999999E-3</v>
          </cell>
          <cell r="B34" t="str">
            <v>g</v>
          </cell>
        </row>
        <row r="35">
          <cell r="A35">
            <v>-53.888890000000004</v>
          </cell>
          <cell r="B35">
            <v>93.333330000000004</v>
          </cell>
        </row>
        <row r="36">
          <cell r="A36">
            <v>-65</v>
          </cell>
          <cell r="B36">
            <v>200</v>
          </cell>
        </row>
        <row r="39">
          <cell r="A39">
            <v>5</v>
          </cell>
        </row>
        <row r="40">
          <cell r="B40" t="str">
            <v>Calibration traceable to primary method which has been proficiency validated through interlaboratory comparison to NIST (project number 822/271196).</v>
          </cell>
        </row>
        <row r="42">
          <cell r="B42" t="str">
            <v>This certificate may not be reproduced except in full, without written permision.</v>
          </cell>
        </row>
        <row r="44">
          <cell r="B44" t="str">
            <v>This calibration was performed with TMS 9155 Calibration Workstation version 4.12.02</v>
          </cell>
        </row>
        <row r="45">
          <cell r="A45">
            <v>101.68040000000001</v>
          </cell>
          <cell r="B45" t="str">
            <v>mV/g</v>
          </cell>
        </row>
        <row r="46">
          <cell r="A46">
            <v>1.5416579999999999E-2</v>
          </cell>
          <cell r="B46" t="str">
            <v>%</v>
          </cell>
        </row>
        <row r="47">
          <cell r="A47">
            <v>100</v>
          </cell>
          <cell r="B47" t="str">
            <v>Hz</v>
          </cell>
        </row>
        <row r="48">
          <cell r="A48" t="str">
            <v>g</v>
          </cell>
        </row>
      </sheetData>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drawing" Target="/xl/drawings/drawing4.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10.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r="http://schemas.openxmlformats.org/officeDocument/2006/relationships" xmlns="http://schemas.openxmlformats.org/spreadsheetml/2006/main">
  <sheetPr codeName="Sheet2">
    <outlinePr summaryBelow="1" summaryRight="1"/>
    <pageSetUpPr fitToPage="1"/>
  </sheetPr>
  <dimension ref="A1:I45"/>
  <sheetViews>
    <sheetView zoomScaleNormal="100" workbookViewId="0">
      <selection activeCell="B8" sqref="B8"/>
    </sheetView>
  </sheetViews>
  <sheetFormatPr baseColWidth="8" defaultColWidth="0" defaultRowHeight="12.75" zeroHeight="1"/>
  <cols>
    <col width="29.7109375" customWidth="1" style="77" min="1" max="1"/>
    <col width="24.7109375" customWidth="1" style="77" min="2" max="2"/>
    <col width="30.42578125" customWidth="1" style="77" min="3" max="3"/>
    <col width="24.7109375" customWidth="1" style="69" min="4" max="4"/>
    <col width="27" customWidth="1" style="69" min="5" max="5"/>
    <col hidden="1" width="24.7109375" customWidth="1" style="69" min="6" max="7"/>
    <col hidden="1" width="24.7109375" customWidth="1" style="320" min="8" max="15"/>
    <col hidden="1" style="320" min="16" max="16384"/>
  </cols>
  <sheetData>
    <row r="1" ht="18" customHeight="1" s="369">
      <c r="A1" s="66" t="n"/>
      <c r="B1" s="320" t="n"/>
      <c r="C1" s="66" t="n"/>
      <c r="D1" s="66" t="n"/>
      <c r="E1" s="174" t="inlineStr">
        <is>
          <t>Create Calibration Certificate</t>
        </is>
      </c>
      <c r="F1" s="66" t="n"/>
      <c r="G1" s="323" t="n"/>
      <c r="H1" s="494" t="n"/>
      <c r="I1" s="66" t="n"/>
    </row>
    <row r="2" ht="18" customHeight="1" s="369">
      <c r="A2" s="68" t="n"/>
      <c r="B2" s="66" t="n"/>
      <c r="C2" s="320" t="n"/>
      <c r="D2" s="320" t="n"/>
      <c r="E2" s="175" t="inlineStr">
        <is>
          <t>in pC/g (mV/g data only)</t>
        </is>
      </c>
      <c r="F2" s="66" t="n"/>
      <c r="G2" s="322" t="n"/>
      <c r="H2" s="494" t="n"/>
      <c r="I2" s="66" t="n"/>
    </row>
    <row r="3" ht="18" customHeight="1" s="369">
      <c r="A3" s="68" t="n"/>
      <c r="B3" s="66" t="n"/>
      <c r="C3" s="315" t="inlineStr">
        <is>
          <t>Portable Vibration Calibrator</t>
        </is>
      </c>
      <c r="E3" s="176" t="n"/>
      <c r="F3" s="66" t="n"/>
      <c r="G3" s="66" t="n"/>
      <c r="H3" s="66" t="n"/>
      <c r="I3" s="66" t="n"/>
    </row>
    <row r="4" ht="18" customHeight="1" s="369">
      <c r="A4" s="322" t="n"/>
      <c r="B4" s="71" t="n"/>
      <c r="C4" s="72" t="inlineStr">
        <is>
          <t>Report Generation Spreadsheet</t>
        </is>
      </c>
      <c r="D4" s="171" t="n"/>
      <c r="E4" s="171" t="n"/>
      <c r="F4" s="95" t="n"/>
      <c r="G4" s="320" t="n"/>
      <c r="H4" s="69" t="n"/>
      <c r="I4" s="66" t="n"/>
    </row>
    <row r="5" ht="18" customHeight="1" s="369">
      <c r="A5" s="322" t="n"/>
      <c r="B5" s="71" t="n"/>
      <c r="C5" s="72">
        <f>'Linfit Worksheet'!L29</f>
        <v/>
      </c>
      <c r="D5" s="170" t="n"/>
      <c r="E5" s="177" t="n"/>
      <c r="F5" s="320" t="n"/>
      <c r="G5" s="320" t="n"/>
      <c r="H5" s="69" t="n"/>
      <c r="I5" s="66" t="n"/>
    </row>
    <row r="6" ht="18" customHeight="1" s="369">
      <c r="A6" s="322" t="n"/>
      <c r="B6" s="71" t="n"/>
      <c r="C6" s="320" t="n"/>
      <c r="D6" s="170" t="n"/>
      <c r="E6" s="171" t="n"/>
      <c r="F6" s="320" t="n"/>
      <c r="G6" s="320" t="n"/>
      <c r="H6" s="69" t="n"/>
      <c r="I6" s="66" t="n"/>
    </row>
    <row r="7" ht="18" customHeight="1" s="369">
      <c r="A7" s="322" t="n"/>
      <c r="B7" s="71" t="n"/>
      <c r="C7" s="81" t="n"/>
      <c r="D7" s="320" t="n"/>
      <c r="E7" s="171" t="n"/>
      <c r="F7" s="320" t="n"/>
      <c r="G7" s="320" t="n"/>
      <c r="H7" s="69" t="n"/>
      <c r="I7" s="66" t="n"/>
    </row>
    <row r="8" ht="18" customHeight="1" s="369">
      <c r="A8" s="172" t="inlineStr">
        <is>
          <t>Enter Reference Frequency</t>
        </is>
      </c>
      <c r="B8" s="187" t="n">
        <v>100</v>
      </c>
      <c r="C8" s="172" t="n"/>
      <c r="D8" s="186" t="n"/>
      <c r="E8" s="178" t="n"/>
      <c r="F8" s="117" t="n"/>
      <c r="G8" s="89" t="n"/>
      <c r="H8" s="69" t="n"/>
      <c r="I8" s="66" t="n"/>
    </row>
    <row r="9" ht="18" customHeight="1" s="369">
      <c r="A9" s="80" t="n"/>
      <c r="B9" s="173">
        <f>IF($A$12="","",$A$12)</f>
        <v/>
      </c>
      <c r="C9" s="116" t="n"/>
      <c r="D9" s="173">
        <f>IF($D$8="","","mV/pC")</f>
        <v/>
      </c>
      <c r="E9" s="179" t="n"/>
      <c r="F9" s="117" t="n"/>
      <c r="G9" s="89" t="n"/>
      <c r="H9" s="69" t="n"/>
      <c r="I9" s="66" t="n"/>
    </row>
    <row r="10" ht="18" customHeight="1" s="369">
      <c r="A10" s="321" t="inlineStr">
        <is>
          <t>Frequency Response Data Table</t>
        </is>
      </c>
      <c r="B10" s="495" t="n"/>
      <c r="C10" s="495" t="n"/>
      <c r="D10" s="496" t="n"/>
      <c r="E10" s="180" t="n"/>
      <c r="F10" s="117" t="n"/>
      <c r="G10" s="89" t="n"/>
      <c r="H10" s="69" t="n"/>
      <c r="I10" s="66" t="n"/>
    </row>
    <row r="11" ht="18" customHeight="1" s="369">
      <c r="A11" s="324" t="inlineStr">
        <is>
          <t>Frequency</t>
        </is>
      </c>
      <c r="B11" s="324" t="inlineStr">
        <is>
          <t>Amplitude</t>
        </is>
      </c>
      <c r="C11" s="32" t="inlineStr">
        <is>
          <t>Sensitivity</t>
        </is>
      </c>
      <c r="D11" s="32" t="inlineStr">
        <is>
          <t>Deviation</t>
        </is>
      </c>
      <c r="E11" s="181" t="n"/>
      <c r="F11" s="73" t="n"/>
      <c r="G11" s="118" t="n"/>
      <c r="H11" s="319" t="n"/>
      <c r="I11" s="494" t="n"/>
    </row>
    <row r="12" ht="18" customHeight="1" s="369">
      <c r="A12" s="324">
        <f>IF(FRRaw!C13&lt;&gt;"",FRRaw!C13,"")</f>
        <v/>
      </c>
      <c r="B12" s="324">
        <f>IF(FRRaw!G13&lt;&gt;"",FRRaw!G13,"")</f>
        <v/>
      </c>
      <c r="C12" s="32">
        <f>IF(AND(FRRaw!I12, FRRaw!E13 = "mV/g"),"pC/g",FRRaw!E13)</f>
        <v/>
      </c>
      <c r="D12" s="32" t="inlineStr">
        <is>
          <t>%</t>
        </is>
      </c>
      <c r="E12" s="182" t="n"/>
      <c r="F12" s="73" t="n"/>
      <c r="G12" s="118" t="n"/>
    </row>
    <row r="13" ht="18" customHeight="1" s="369">
      <c r="A13" s="113">
        <f> IF(FRRaw!B13&gt;0,FRRaw!B13,"")</f>
        <v/>
      </c>
      <c r="B13" s="113">
        <f>IF(FRRaw!B13&gt;0,FIXED(FRRaw!F13,2),"")</f>
        <v/>
      </c>
      <c r="C13" s="31">
        <f>IF((AND(FRRaw!$I$12, FRRaw!$E$13 = "mV/g")), IF(FRRaw!B13,( IF(FRRaw!B13,FRRaw!D13,"")/FRData!$D$8), ""), IF(FRRaw!B13,FRRaw!D13,""))</f>
        <v/>
      </c>
      <c r="D13" s="109">
        <f>IF(A13="","",100*(C13/VLOOKUP($B$8,FRData!$A$13:$C$42,3,0.01)-1))</f>
        <v/>
      </c>
      <c r="E13" s="497" t="n"/>
      <c r="F13" s="498" t="n"/>
      <c r="G13" s="75" t="n"/>
      <c r="I13" s="119" t="n"/>
    </row>
    <row r="14" ht="18" customHeight="1" s="369">
      <c r="A14" s="113">
        <f> IF(FRRaw!B14&gt;0,FRRaw!B14,"")</f>
        <v/>
      </c>
      <c r="B14" s="113">
        <f>IF(FRRaw!B14&gt;0,FIXED(FRRaw!F14,2),"")</f>
        <v/>
      </c>
      <c r="C14" s="31">
        <f>IF((AND(FRRaw!$I$12, FRRaw!$E$13 = "mV/g")), IF(FRRaw!B14,( IF(FRRaw!B14,FRRaw!D14,"")/FRData!$D$8), ""), IF(FRRaw!B14,FRRaw!D14,""))</f>
        <v/>
      </c>
      <c r="D14" s="109">
        <f>IF(A14="","",100*(C14/VLOOKUP($B$8,FRData!$A$13:$C$42,3,0.01)-1))</f>
        <v/>
      </c>
      <c r="E14" s="497" t="n"/>
      <c r="F14" s="498" t="n"/>
      <c r="G14" s="75" t="n"/>
    </row>
    <row r="15" ht="18" customHeight="1" s="369">
      <c r="A15" s="113">
        <f> IF(FRRaw!B15&gt;0,FRRaw!B15,"")</f>
        <v/>
      </c>
      <c r="B15" s="113">
        <f>IF(FRRaw!B15&gt;0,FIXED(FRRaw!F15,2),"")</f>
        <v/>
      </c>
      <c r="C15" s="31">
        <f>IF((AND(FRRaw!$I$12, FRRaw!$E$13 = "mV/g")), IF(FRRaw!B15,( IF(FRRaw!B15,FRRaw!D15,"")/FRData!$D$8), ""), IF(FRRaw!B15,FRRaw!D15,""))</f>
        <v/>
      </c>
      <c r="D15" s="109">
        <f>IF(A15="","",100*(C15/VLOOKUP($B$8,FRData!$A$13:$C$42,3,0.01)-1))</f>
        <v/>
      </c>
      <c r="E15" s="497" t="n"/>
      <c r="F15" s="498" t="n"/>
      <c r="G15" s="75" t="n"/>
    </row>
    <row r="16" ht="18" customHeight="1" s="369">
      <c r="A16" s="113">
        <f> IF(FRRaw!B16&gt;0,FRRaw!B16,"")</f>
        <v/>
      </c>
      <c r="B16" s="113">
        <f>IF(FRRaw!B16&gt;0,FIXED(FRRaw!F16,2),"")</f>
        <v/>
      </c>
      <c r="C16" s="31">
        <f>IF((AND(FRRaw!$I$12, FRRaw!$E$13 = "mV/g")), IF(FRRaw!B16,( IF(FRRaw!B16,FRRaw!D16,"")/FRData!$D$8), ""), IF(FRRaw!B16,FRRaw!D16,""))</f>
        <v/>
      </c>
      <c r="D16" s="109">
        <f>IF(A16="","",100*(C16/VLOOKUP($B$8,FRData!$A$13:$C$42,3,0.01)-1))</f>
        <v/>
      </c>
      <c r="E16" s="497" t="n"/>
      <c r="F16" s="498" t="n"/>
      <c r="G16" s="75" t="n"/>
    </row>
    <row r="17" ht="18" customHeight="1" s="369">
      <c r="A17" s="113">
        <f> IF(FRRaw!B17&gt;0,FRRaw!B17,"")</f>
        <v/>
      </c>
      <c r="B17" s="113">
        <f>IF(FRRaw!B17&gt;0,FIXED(FRRaw!F17,2),"")</f>
        <v/>
      </c>
      <c r="C17" s="31">
        <f>IF((AND(FRRaw!$I$12, FRRaw!$E$13 = "mV/g")), IF(FRRaw!B17,( IF(FRRaw!B17,FRRaw!D17,"")/FRData!$D$8), ""), IF(FRRaw!B17,FRRaw!D17,""))</f>
        <v/>
      </c>
      <c r="D17" s="109">
        <f>IF(A17="","",100*(C17/VLOOKUP($B$8,FRData!$A$13:$C$42,3,0.01)-1))</f>
        <v/>
      </c>
      <c r="E17" s="497" t="n"/>
      <c r="F17" s="498" t="n"/>
      <c r="G17" s="75" t="n"/>
    </row>
    <row r="18" ht="18" customHeight="1" s="369">
      <c r="A18" s="113">
        <f> IF(FRRaw!B18&gt;0,FRRaw!B18,"")</f>
        <v/>
      </c>
      <c r="B18" s="113">
        <f>IF(FRRaw!B18&gt;0,FIXED(FRRaw!F18,2),"")</f>
        <v/>
      </c>
      <c r="C18" s="31">
        <f>IF((AND(FRRaw!$I$12, FRRaw!$E$13 = "mV/g")), IF(FRRaw!B18,( IF(FRRaw!B18,FRRaw!D18,"")/FRData!$D$8), ""), IF(FRRaw!B18,FRRaw!D18,""))</f>
        <v/>
      </c>
      <c r="D18" s="109">
        <f>IF(A18="","",100*(C18/VLOOKUP($B$8,FRData!$A$13:$C$42,3,0.01)-1))</f>
        <v/>
      </c>
      <c r="E18" s="497" t="n"/>
      <c r="F18" s="498" t="n"/>
      <c r="G18" s="75" t="n"/>
    </row>
    <row r="19" ht="18" customHeight="1" s="369">
      <c r="A19" s="113">
        <f> IF(FRRaw!B19&gt;0,FRRaw!B19,"")</f>
        <v/>
      </c>
      <c r="B19" s="113">
        <f>IF(FRRaw!B19&gt;0,FIXED(FRRaw!F19,2),"")</f>
        <v/>
      </c>
      <c r="C19" s="31">
        <f>IF((AND(FRRaw!$I$12, FRRaw!$E$13 = "mV/g")), IF(FRRaw!B19,( IF(FRRaw!B19,FRRaw!D19,"")/FRData!$D$8), ""), IF(FRRaw!B19,FRRaw!D19,""))</f>
        <v/>
      </c>
      <c r="D19" s="109">
        <f>IF(A19="","",100*(C19/VLOOKUP($B$8,FRData!$A$13:$C$42,3,0.01)-1))</f>
        <v/>
      </c>
      <c r="E19" s="497" t="n"/>
      <c r="F19" s="498" t="n"/>
      <c r="G19" s="75" t="n"/>
    </row>
    <row r="20" ht="18" customHeight="1" s="369">
      <c r="A20" s="113">
        <f> IF(FRRaw!B20&gt;0,FRRaw!B20,"")</f>
        <v/>
      </c>
      <c r="B20" s="113">
        <f>IF(FRRaw!B20&gt;0,FIXED(FRRaw!F20,2),"")</f>
        <v/>
      </c>
      <c r="C20" s="31">
        <f>IF((AND(FRRaw!$I$12, FRRaw!$E$13 = "mV/g")), IF(FRRaw!B20,( IF(FRRaw!B20,FRRaw!D20,"")/FRData!$D$8), ""), IF(FRRaw!B20,FRRaw!D20,""))</f>
        <v/>
      </c>
      <c r="D20" s="109">
        <f>IF(A20="","",100*(C20/VLOOKUP($B$8,FRData!$A$13:$C$42,3,0.01)-1))</f>
        <v/>
      </c>
      <c r="E20" s="497" t="n"/>
      <c r="F20" s="498" t="n"/>
      <c r="G20" s="75" t="n"/>
    </row>
    <row r="21" ht="18" customHeight="1" s="369">
      <c r="A21" s="113">
        <f> IF(FRRaw!B21&gt;0,FRRaw!B21,"")</f>
        <v/>
      </c>
      <c r="B21" s="113">
        <f>IF(FRRaw!B21&gt;0,FIXED(FRRaw!F21,2),"")</f>
        <v/>
      </c>
      <c r="C21" s="31">
        <f>IF((AND(FRRaw!$I$12, FRRaw!$E$13 = "mV/g")), IF(FRRaw!B21,( IF(FRRaw!B21,FRRaw!D21,"")/FRData!$D$8), ""), IF(FRRaw!B21,FRRaw!D21,""))</f>
        <v/>
      </c>
      <c r="D21" s="109">
        <f>IF(A21="","",100*(C21/VLOOKUP($B$8,FRData!$A$13:$C$42,3,0.01)-1))</f>
        <v/>
      </c>
      <c r="E21" s="497" t="n"/>
      <c r="F21" s="498" t="n"/>
      <c r="G21" s="75" t="n"/>
    </row>
    <row r="22" ht="18" customHeight="1" s="369">
      <c r="A22" s="113">
        <f> IF(FRRaw!B22&gt;0,FRRaw!B22,"")</f>
        <v/>
      </c>
      <c r="B22" s="113">
        <f>IF(FRRaw!B22&gt;0,FIXED(FRRaw!F22,2),"")</f>
        <v/>
      </c>
      <c r="C22" s="31">
        <f>IF((AND(FRRaw!$I$12, FRRaw!$E$13 = "mV/g")), IF(FRRaw!B22,( IF(FRRaw!B22,FRRaw!D22,"")/FRData!$D$8), ""), IF(FRRaw!B22,FRRaw!D22,""))</f>
        <v/>
      </c>
      <c r="D22" s="109">
        <f>IF(A22="","",100*(C22/VLOOKUP($B$8,FRData!$A$13:$C$42,3,0.01)-1))</f>
        <v/>
      </c>
      <c r="E22" s="497" t="n"/>
      <c r="F22" s="498" t="n"/>
      <c r="G22" s="75" t="n"/>
    </row>
    <row r="23" ht="18" customHeight="1" s="369">
      <c r="A23" s="113">
        <f> IF(FRRaw!B23&gt;0,FRRaw!B23,"")</f>
        <v/>
      </c>
      <c r="B23" s="113">
        <f>IF(FRRaw!B23&gt;0,FIXED(FRRaw!F23,2),"")</f>
        <v/>
      </c>
      <c r="C23" s="31">
        <f>IF((AND(FRRaw!$I$12, FRRaw!$E$13 = "mV/g")), IF(FRRaw!B23,( IF(FRRaw!B23,FRRaw!D23,"")/FRData!$D$8), ""), IF(FRRaw!B23,FRRaw!D23,""))</f>
        <v/>
      </c>
      <c r="D23" s="109">
        <f>IF(A23="","",100*(C23/VLOOKUP($B$8,FRData!$A$13:$C$42,3,0.01)-1))</f>
        <v/>
      </c>
      <c r="E23" s="497" t="n"/>
      <c r="F23" s="498" t="n"/>
      <c r="G23" s="75" t="n"/>
    </row>
    <row r="24" ht="18" customHeight="1" s="369">
      <c r="A24" s="113">
        <f> IF(FRRaw!B24&gt;0,FRRaw!B24,"")</f>
        <v/>
      </c>
      <c r="B24" s="113">
        <f>IF(FRRaw!B24&gt;0,FIXED(FRRaw!F24,2),"")</f>
        <v/>
      </c>
      <c r="C24" s="31">
        <f>IF((AND(FRRaw!$I$12, FRRaw!$E$13 = "mV/g")), IF(FRRaw!B24,( IF(FRRaw!B24,FRRaw!D24,"")/FRData!$D$8), ""), IF(FRRaw!B24,FRRaw!D24,""))</f>
        <v/>
      </c>
      <c r="D24" s="109">
        <f>IF(A24="","",100*(C24/VLOOKUP($B$8,FRData!$A$13:$C$42,3,0.01)-1))</f>
        <v/>
      </c>
      <c r="E24" s="497" t="n"/>
      <c r="F24" s="498" t="n"/>
      <c r="G24" s="75" t="n"/>
    </row>
    <row r="25" ht="18" customHeight="1" s="369">
      <c r="A25" s="113">
        <f> IF(FRRaw!B25&gt;0,FRRaw!B25,"")</f>
        <v/>
      </c>
      <c r="B25" s="113">
        <f>IF(FRRaw!B25&gt;0,FIXED(FRRaw!F25,2),"")</f>
        <v/>
      </c>
      <c r="C25" s="31">
        <f>IF((AND(FRRaw!$I$12, FRRaw!$E$13 = "mV/g")), IF(FRRaw!B25,( IF(FRRaw!B25,FRRaw!D25,"")/FRData!$D$8), ""), IF(FRRaw!B25,FRRaw!D25,""))</f>
        <v/>
      </c>
      <c r="D25" s="109">
        <f>IF(A25="","",100*(C25/VLOOKUP($B$8,FRData!$A$13:$C$42,3,0.01)-1))</f>
        <v/>
      </c>
      <c r="E25" s="497" t="n"/>
      <c r="F25" s="498" t="n"/>
      <c r="G25" s="75" t="n"/>
    </row>
    <row r="26" ht="18" customHeight="1" s="369">
      <c r="A26" s="113">
        <f> IF(FRRaw!B26&gt;0,FRRaw!B26,"")</f>
        <v/>
      </c>
      <c r="B26" s="113">
        <f>IF(FRRaw!B26&gt;0,FIXED(FRRaw!F26,2),"")</f>
        <v/>
      </c>
      <c r="C26" s="31">
        <f>IF((AND(FRRaw!$I$12, FRRaw!$E$13 = "mV/g")), IF(FRRaw!B26,( IF(FRRaw!B26,FRRaw!D26,"")/FRData!$D$8), ""), IF(FRRaw!B26,FRRaw!D26,""))</f>
        <v/>
      </c>
      <c r="D26" s="109">
        <f>IF(A26="","",100*(C26/VLOOKUP($B$8,FRData!$A$13:$C$42,3,0.01)-1))</f>
        <v/>
      </c>
      <c r="E26" s="497" t="n"/>
      <c r="F26" s="498" t="n"/>
      <c r="G26" s="75" t="n"/>
    </row>
    <row r="27" ht="18" customHeight="1" s="369">
      <c r="A27" s="113">
        <f> IF(FRRaw!B27&gt;0,FRRaw!B27,"")</f>
        <v/>
      </c>
      <c r="B27" s="113">
        <f>IF(FRRaw!B27&gt;0,FIXED(FRRaw!F27,2),"")</f>
        <v/>
      </c>
      <c r="C27" s="31">
        <f>IF((AND(FRRaw!$I$12, FRRaw!$E$13 = "mV/g")), IF(FRRaw!B27,( IF(FRRaw!B27,FRRaw!D27,"")/FRData!$D$8), ""), IF(FRRaw!B27,FRRaw!D27,""))</f>
        <v/>
      </c>
      <c r="D27" s="109">
        <f>IF(A27="","",100*(C27/VLOOKUP($B$8,FRData!$A$13:$C$42,3,0.01)-1))</f>
        <v/>
      </c>
      <c r="E27" s="497" t="n"/>
      <c r="F27" s="498" t="n"/>
      <c r="G27" s="75" t="n"/>
    </row>
    <row r="28" ht="18" customHeight="1" s="369">
      <c r="A28" s="113">
        <f> IF(FRRaw!B28&gt;0,FRRaw!B28,"")</f>
        <v/>
      </c>
      <c r="B28" s="113">
        <f>IF(FRRaw!B28&gt;0,FIXED(FRRaw!F28,2),"")</f>
        <v/>
      </c>
      <c r="C28" s="31">
        <f>IF((AND(FRRaw!$I$12, FRRaw!$E$13 = "mV/g")), IF(FRRaw!B28,( IF(FRRaw!B28,FRRaw!D28,"")/FRData!$D$8), ""), IF(FRRaw!B28,FRRaw!D28,""))</f>
        <v/>
      </c>
      <c r="D28" s="109">
        <f>IF(A28="","",100*(C28/VLOOKUP($B$8,FRData!$A$13:$C$42,3,0.01)-1))</f>
        <v/>
      </c>
      <c r="E28" s="497" t="n"/>
      <c r="F28" s="498" t="n"/>
      <c r="G28" s="75" t="n"/>
    </row>
    <row r="29" ht="18" customHeight="1" s="369">
      <c r="A29" s="113">
        <f> IF(FRRaw!B29&gt;0,FRRaw!B29,"")</f>
        <v/>
      </c>
      <c r="B29" s="113">
        <f>IF(FRRaw!B29&gt;0,FIXED(FRRaw!F29,2),"")</f>
        <v/>
      </c>
      <c r="C29" s="31">
        <f>IF((AND(FRRaw!$I$12, FRRaw!$E$13 = "mV/g")), IF(FRRaw!B29,( IF(FRRaw!B29,FRRaw!D29,"")/FRData!$D$8), ""), IF(FRRaw!B29,FRRaw!D29,""))</f>
        <v/>
      </c>
      <c r="D29" s="109">
        <f>IF(A29="","",100*(C29/VLOOKUP($B$8,FRData!$A$13:$C$42,3,0.01)-1))</f>
        <v/>
      </c>
      <c r="E29" s="497" t="n"/>
      <c r="F29" s="498" t="n"/>
      <c r="G29" s="75" t="n"/>
    </row>
    <row r="30" ht="18" customHeight="1" s="369">
      <c r="A30" s="113">
        <f> IF(FRRaw!B30&gt;0,FRRaw!B30,"")</f>
        <v/>
      </c>
      <c r="B30" s="113">
        <f>IF(FRRaw!B30&gt;0,FIXED(FRRaw!F30,2),"")</f>
        <v/>
      </c>
      <c r="C30" s="31">
        <f>IF((AND(FRRaw!$I$12, FRRaw!$E$13 = "mV/g")), IF(FRRaw!B30,( IF(FRRaw!B30,FRRaw!D30,"")/FRData!$D$8), ""), IF(FRRaw!B30,FRRaw!D30,""))</f>
        <v/>
      </c>
      <c r="D30" s="109">
        <f>IF(A30="","",100*(C30/VLOOKUP($B$8,FRData!$A$13:$C$42,3,0.01)-1))</f>
        <v/>
      </c>
      <c r="E30" s="497" t="n"/>
      <c r="F30" s="498" t="n"/>
      <c r="G30" s="75" t="n"/>
    </row>
    <row r="31" ht="18" customHeight="1" s="369">
      <c r="A31" s="113">
        <f> IF(FRRaw!B31&gt;0,FRRaw!B31,"")</f>
        <v/>
      </c>
      <c r="B31" s="113">
        <f>IF(FRRaw!B31&gt;0,FIXED(FRRaw!F31,2),"")</f>
        <v/>
      </c>
      <c r="C31" s="31">
        <f>IF((AND(FRRaw!$I$12, FRRaw!$E$13 = "mV/g")), IF(FRRaw!B31,( IF(FRRaw!B31,FRRaw!D31,"")/FRData!$D$8), ""), IF(FRRaw!B31,FRRaw!D31,""))</f>
        <v/>
      </c>
      <c r="D31" s="109">
        <f>IF(A31="","",100*(C31/VLOOKUP($B$8,FRData!$A$13:$C$42,3,0.01)-1))</f>
        <v/>
      </c>
      <c r="E31" s="497" t="n"/>
      <c r="F31" s="498" t="n"/>
      <c r="G31" s="75" t="n"/>
    </row>
    <row r="32" ht="18" customHeight="1" s="369">
      <c r="A32" s="113">
        <f> IF(FRRaw!B32&gt;0,FRRaw!B32,"")</f>
        <v/>
      </c>
      <c r="B32" s="113">
        <f>IF(FRRaw!B32&gt;0,FIXED(FRRaw!F32,2),"")</f>
        <v/>
      </c>
      <c r="C32" s="31">
        <f>IF((AND(FRRaw!$I$12, FRRaw!$E$13 = "mV/g")), IF(FRRaw!B32,( IF(FRRaw!B32,FRRaw!D32,"")/FRData!$D$8), ""), IF(FRRaw!B32,FRRaw!D32,""))</f>
        <v/>
      </c>
      <c r="D32" s="109">
        <f>IF(A32="","",100*(C32/VLOOKUP($B$8,FRData!$A$13:$C$42,3,0.01)-1))</f>
        <v/>
      </c>
      <c r="E32" s="497" t="n"/>
      <c r="F32" s="498" t="n"/>
      <c r="G32" s="75" t="n"/>
    </row>
    <row r="33" ht="18" customHeight="1" s="369">
      <c r="A33" s="113">
        <f> IF(FRRaw!B33&gt;0,FRRaw!B33,"")</f>
        <v/>
      </c>
      <c r="B33" s="113">
        <f>IF(FRRaw!B33&gt;0,FIXED(FRRaw!F33,2),"")</f>
        <v/>
      </c>
      <c r="C33" s="31">
        <f>IF((AND(FRRaw!$I$12, FRRaw!$E$13 = "mV/g")), IF(FRRaw!B33,( IF(FRRaw!B33,FRRaw!D33,"")/FRData!$D$8), ""), IF(FRRaw!B33,FRRaw!D33,""))</f>
        <v/>
      </c>
      <c r="D33" s="109">
        <f>IF(A33="","",100*(C33/VLOOKUP($B$8,FRData!$A$13:$C$42,3,0.01)-1))</f>
        <v/>
      </c>
      <c r="E33" s="184" t="n"/>
      <c r="F33" s="76" t="n"/>
      <c r="G33" s="76" t="n"/>
      <c r="H33" s="76" t="n"/>
    </row>
    <row r="34" ht="18" customHeight="1" s="369">
      <c r="A34" s="113">
        <f> IF(FRRaw!B34&gt;0,FRRaw!B34,"")</f>
        <v/>
      </c>
      <c r="B34" s="113">
        <f>IF(FRRaw!B34&gt;0,FIXED(FRRaw!F34,2),"")</f>
        <v/>
      </c>
      <c r="C34" s="31">
        <f>IF((AND(FRRaw!$I$12, FRRaw!$E$13 = "mV/g")), IF(FRRaw!B34,( IF(FRRaw!B34,FRRaw!D34,"")/FRData!$D$8), ""), IF(FRRaw!B34,FRRaw!D34,""))</f>
        <v/>
      </c>
      <c r="D34" s="109">
        <f>IF(A34="","",100*(C34/VLOOKUP($B$8,FRData!$A$13:$C$42,3,0.01)-1))</f>
        <v/>
      </c>
      <c r="E34" s="184" t="n"/>
      <c r="F34" s="76" t="n"/>
      <c r="G34" s="76" t="n"/>
    </row>
    <row r="35" ht="18" customHeight="1" s="369">
      <c r="A35" s="113">
        <f> IF(FRRaw!B35&gt;0,FRRaw!B35,"")</f>
        <v/>
      </c>
      <c r="B35" s="113">
        <f>IF(FRRaw!B35&gt;0,FIXED(FRRaw!F35,2),"")</f>
        <v/>
      </c>
      <c r="C35" s="31">
        <f>IF((AND(FRRaw!$I$12, FRRaw!$E$13 = "mV/g")), IF(FRRaw!B35,( IF(FRRaw!B35,FRRaw!D35,"")/FRData!$D$8), ""), IF(FRRaw!B35,FRRaw!D35,""))</f>
        <v/>
      </c>
      <c r="D35" s="109">
        <f>IF(A35="","",100*(C35/VLOOKUP($B$8,FRData!$A$13:$C$42,3,0.01)-1))</f>
        <v/>
      </c>
      <c r="E35" s="184" t="n"/>
      <c r="F35" s="76" t="n"/>
      <c r="G35" s="76" t="n"/>
    </row>
    <row r="36" ht="18" customHeight="1" s="369">
      <c r="A36" s="113">
        <f> IF(FRRaw!B36&gt;0,FRRaw!B36,"")</f>
        <v/>
      </c>
      <c r="B36" s="113">
        <f>IF(FRRaw!B36&gt;0,FIXED(FRRaw!F36,2),"")</f>
        <v/>
      </c>
      <c r="C36" s="31">
        <f>IF((AND(FRRaw!$I$12, FRRaw!$E$13 = "mV/g")), IF(FRRaw!B36,( IF(FRRaw!B36,FRRaw!D36,"")/FRData!$D$8), ""), IF(FRRaw!B36,FRRaw!D36,""))</f>
        <v/>
      </c>
      <c r="D36" s="109">
        <f>IF(A36="","",100*(C36/VLOOKUP($B$8,FRData!$A$13:$C$42,3,0.01)-1))</f>
        <v/>
      </c>
      <c r="E36" s="184" t="n"/>
      <c r="F36" s="76" t="n"/>
      <c r="G36" s="76" t="n"/>
    </row>
    <row r="37" ht="18" customHeight="1" s="369">
      <c r="A37" s="113">
        <f> IF(FRRaw!B37&gt;0,FRRaw!B37,"")</f>
        <v/>
      </c>
      <c r="B37" s="113">
        <f>IF(FRRaw!B37&gt;0,FIXED(FRRaw!F37,2),"")</f>
        <v/>
      </c>
      <c r="C37" s="31">
        <f>IF((AND(FRRaw!$I$12, FRRaw!$E$13 = "mV/g")), IF(FRRaw!B37,( IF(FRRaw!B37,FRRaw!D37,"")/FRData!$D$8), ""), IF(FRRaw!B37,FRRaw!D37,""))</f>
        <v/>
      </c>
      <c r="D37" s="109">
        <f>IF(A37="","",100*(C37/VLOOKUP($B$8,FRData!$A$13:$C$42,3,0.01)-1))</f>
        <v/>
      </c>
      <c r="E37" s="184" t="n"/>
      <c r="F37" s="76" t="n"/>
      <c r="G37" s="76" t="n"/>
    </row>
    <row r="38" ht="18" customHeight="1" s="369">
      <c r="A38" s="113">
        <f> IF(FRRaw!B38&gt;0,FRRaw!B38,"")</f>
        <v/>
      </c>
      <c r="B38" s="113">
        <f>IF(FRRaw!B38&gt;0,FIXED(FRRaw!F38,2),"")</f>
        <v/>
      </c>
      <c r="C38" s="31">
        <f>IF((AND(FRRaw!$I$12, FRRaw!$E$13 = "mV/g")), IF(FRRaw!B38,( IF(FRRaw!B38,FRRaw!D38,"")/FRData!$D$8), ""), IF(FRRaw!B38,FRRaw!D38,""))</f>
        <v/>
      </c>
      <c r="D38" s="109">
        <f>IF(A38="","",100*(C38/VLOOKUP($B$8,FRData!$A$13:$C$42,3,0.01)-1))</f>
        <v/>
      </c>
      <c r="E38" s="184" t="n"/>
      <c r="F38" s="76" t="n"/>
      <c r="G38" s="76" t="n"/>
    </row>
    <row r="39" ht="18" customHeight="1" s="369">
      <c r="A39" s="113">
        <f> IF(FRRaw!B39&gt;0,FRRaw!B39,"")</f>
        <v/>
      </c>
      <c r="B39" s="113">
        <f>IF(FRRaw!B39&gt;0,FIXED(FRRaw!F39,2),"")</f>
        <v/>
      </c>
      <c r="C39" s="31">
        <f>IF((AND(FRRaw!$I$12, FRRaw!$E$13 = "mV/g")), IF(FRRaw!B39,( IF(FRRaw!B39,FRRaw!D39,"")/FRData!$D$8), ""), IF(FRRaw!B39,FRRaw!D39,""))</f>
        <v/>
      </c>
      <c r="D39" s="109">
        <f>IF(A39="","",100*(C39/VLOOKUP($B$8,FRData!$A$13:$C$42,3,0.01)-1))</f>
        <v/>
      </c>
      <c r="E39" s="184" t="n"/>
      <c r="F39" s="76" t="n"/>
      <c r="G39" s="76" t="n"/>
    </row>
    <row r="40" ht="18" customHeight="1" s="369">
      <c r="A40" s="113">
        <f> IF(FRRaw!B40&gt;0,FRRaw!B40,"")</f>
        <v/>
      </c>
      <c r="B40" s="113">
        <f>IF(FRRaw!B40&gt;0,FIXED(FRRaw!F40,2),"")</f>
        <v/>
      </c>
      <c r="C40" s="31">
        <f>IF((AND(FRRaw!$I$12, FRRaw!$E$13 = "mV/g")), IF(FRRaw!B40,( IF(FRRaw!B40,FRRaw!D40,"")/FRData!$D$8), ""), IF(FRRaw!B40,FRRaw!D40,""))</f>
        <v/>
      </c>
      <c r="D40" s="109">
        <f>IF(A40="","",100*(C40/VLOOKUP($B$8,FRData!$A$13:$C$42,3,0.01)-1))</f>
        <v/>
      </c>
      <c r="E40" s="184" t="n"/>
      <c r="F40" s="76" t="n"/>
      <c r="G40" s="76" t="n"/>
    </row>
    <row r="41" ht="18" customHeight="1" s="369">
      <c r="A41" s="113">
        <f> IF(FRRaw!B41&gt;0,FRRaw!B41,"")</f>
        <v/>
      </c>
      <c r="B41" s="113">
        <f>IF(FRRaw!B41&gt;0,FIXED(FRRaw!F41,2),"")</f>
        <v/>
      </c>
      <c r="C41" s="31">
        <f>IF((AND(FRRaw!$I$12, FRRaw!$E$13 = "mV/g")), IF(FRRaw!B41,( IF(FRRaw!B41,FRRaw!D41,"")/FRData!$D$8), ""), IF(FRRaw!B41,FRRaw!D41,""))</f>
        <v/>
      </c>
      <c r="D41" s="109">
        <f>IF(A41="","",100*(C41/VLOOKUP($B$8,FRData!$A$13:$C$42,3,0.01)-1))</f>
        <v/>
      </c>
      <c r="E41" s="184" t="n"/>
      <c r="F41" s="76" t="n"/>
      <c r="G41" s="76" t="n"/>
    </row>
    <row r="42" ht="18" customHeight="1" s="369">
      <c r="A42" s="113">
        <f> IF(FRRaw!B42&gt;0,FRRaw!B42,"")</f>
        <v/>
      </c>
      <c r="B42" s="113">
        <f>IF(FRRaw!B42&gt;0,FIXED(FRRaw!F42,2),"")</f>
        <v/>
      </c>
      <c r="C42" s="31">
        <f>IF((AND(FRRaw!$I$12, FRRaw!$E$13 = "mV/g")), IF(FRRaw!B42,( IF(FRRaw!B42,FRRaw!D42,"")/FRData!$D$8), ""), IF(FRRaw!B42,FRRaw!D42,""))</f>
        <v/>
      </c>
      <c r="D42" s="109">
        <f>IF(A42="","",100*(C42/VLOOKUP($B$8,FRData!$A$13:$C$42,3,0.01)-1))</f>
        <v/>
      </c>
      <c r="E42" s="184" t="n"/>
      <c r="F42" s="76" t="n"/>
      <c r="G42" s="76" t="n"/>
    </row>
    <row r="43">
      <c r="A43" s="78" t="n"/>
      <c r="B43" s="78" t="n"/>
      <c r="C43" s="78" t="n"/>
      <c r="D43" s="79" t="n"/>
      <c r="E43" s="185" t="n"/>
      <c r="F43" s="76" t="n"/>
      <c r="G43" s="76" t="n"/>
    </row>
    <row r="44">
      <c r="D44" s="76" t="n"/>
      <c r="E44" s="185" t="n"/>
      <c r="F44" s="76" t="n"/>
      <c r="G44" s="76" t="n"/>
    </row>
    <row r="45" hidden="1" ht="12.75" customHeight="1" s="369">
      <c r="D45" s="76" t="n"/>
      <c r="E45" s="185" t="n"/>
      <c r="F45" s="76" t="n"/>
      <c r="G45" s="76" t="n"/>
    </row>
  </sheetData>
  <sheetProtection selectLockedCells="1" selectUnlockedCells="0" sheet="1" objects="0" insertRows="1" insertHyperlinks="1" autoFilter="1" scenarios="0" formatColumns="1" deleteColumns="1" insertColumns="1" pivotTables="1" deleteRows="1" formatCells="0" formatRows="1" sort="1"/>
  <mergeCells count="4">
    <mergeCell ref="A10:D10"/>
    <mergeCell ref="H11:I11"/>
    <mergeCell ref="G1:H1"/>
    <mergeCell ref="G2:H2"/>
  </mergeCells>
  <conditionalFormatting sqref="B8">
    <cfRule type="expression" priority="1" dxfId="1">
      <formula>IF(B8=VLOOKUP(B8,A13:A42,1),0,1)</formula>
    </cfRule>
  </conditionalFormatting>
  <pageMargins left="0.24" right="0.21" top="0.54" bottom="0.55" header="0.5" footer="0.5"/>
  <pageSetup orientation="landscape" scale="70" verticalDpi="300"/>
  <drawing r:id="rId1"/>
</worksheet>
</file>

<file path=xl/worksheets/sheet2.xml><?xml version="1.0" encoding="utf-8"?>
<worksheet xmlns:r="http://schemas.openxmlformats.org/officeDocument/2006/relationships" xmlns="http://schemas.openxmlformats.org/spreadsheetml/2006/main">
  <sheetPr codeName="Sheet11">
    <outlinePr summaryBelow="1" summaryRight="1"/>
    <pageSetUpPr fitToPage="1"/>
  </sheetPr>
  <dimension ref="A1:P99"/>
  <sheetViews>
    <sheetView zoomScale="90" zoomScaleNormal="90" workbookViewId="0">
      <selection activeCell="H14" sqref="H14"/>
    </sheetView>
  </sheetViews>
  <sheetFormatPr baseColWidth="8" defaultColWidth="0" defaultRowHeight="12.75" zeroHeight="1"/>
  <cols>
    <col width="18.7109375" customWidth="1" style="77" min="1" max="3"/>
    <col width="18.7109375" customWidth="1" style="69" min="4" max="5"/>
    <col width="9.28515625" customWidth="1" style="69" min="6" max="6"/>
    <col width="16.28515625" customWidth="1" style="320" min="7" max="7"/>
    <col width="16.42578125" customWidth="1" style="320" min="8" max="8"/>
    <col width="17" customWidth="1" style="320" min="9" max="9"/>
    <col width="20.7109375" customWidth="1" style="320" min="10" max="10"/>
    <col width="23.28515625" customWidth="1" style="320" min="11" max="11"/>
    <col width="9.140625" customWidth="1" style="320" min="12" max="12"/>
    <col hidden="1" style="320" min="13" max="15"/>
    <col hidden="1" width="8.28515625" customWidth="1" style="320" min="16" max="16"/>
    <col hidden="1" style="320" min="17" max="16384"/>
  </cols>
  <sheetData>
    <row r="1" ht="18" customHeight="1" s="369">
      <c r="A1" s="322" t="n"/>
      <c r="B1" s="71" t="n"/>
      <c r="C1" s="86" t="n"/>
      <c r="F1" s="73" t="n"/>
      <c r="G1" s="322" t="n"/>
      <c r="H1" s="71" t="n"/>
    </row>
    <row r="2" ht="18" customHeight="1" s="369">
      <c r="A2" s="322" t="n"/>
      <c r="B2" s="71" t="n"/>
      <c r="C2" s="86" t="n"/>
      <c r="F2" s="73" t="n"/>
      <c r="G2" s="81" t="n"/>
      <c r="H2" s="96" t="n"/>
      <c r="I2" s="93" t="n"/>
    </row>
    <row r="3" ht="18" customHeight="1" s="369">
      <c r="A3" s="322" t="n"/>
      <c r="B3" s="71" t="n"/>
      <c r="C3" s="86" t="n"/>
      <c r="D3" s="315" t="inlineStr">
        <is>
          <t>Portable Vibration Calibrator</t>
        </is>
      </c>
      <c r="F3" s="108" t="n"/>
      <c r="G3" s="275" t="inlineStr">
        <is>
          <t>1) Enter units for displacement and output</t>
        </is>
      </c>
      <c r="H3" s="276" t="n"/>
      <c r="I3" s="277" t="n"/>
      <c r="J3" s="95" t="n"/>
    </row>
    <row r="4" ht="18" customHeight="1" s="369">
      <c r="A4" s="322" t="n"/>
      <c r="B4" s="71" t="n"/>
      <c r="C4" s="86" t="n"/>
      <c r="D4" s="72" t="inlineStr">
        <is>
          <t>Report Generation Spreadsheet</t>
        </is>
      </c>
      <c r="F4" s="108" t="n"/>
      <c r="H4" s="71" t="n"/>
      <c r="J4" s="95" t="n"/>
    </row>
    <row r="5" ht="18" customHeight="1" s="369">
      <c r="A5" s="322" t="n"/>
      <c r="B5" s="71" t="n"/>
      <c r="C5" s="86" t="n"/>
      <c r="D5" s="72">
        <f>'Linfit Worksheet'!L29</f>
        <v/>
      </c>
      <c r="F5" s="108" t="n"/>
      <c r="G5" s="271" t="inlineStr">
        <is>
          <t>2) Enter measured data</t>
        </is>
      </c>
      <c r="H5" s="272" t="n"/>
      <c r="J5" s="95" t="n"/>
    </row>
    <row r="6" ht="18" customHeight="1" s="369">
      <c r="A6" s="71" t="n"/>
      <c r="B6" s="320" t="n"/>
      <c r="C6" s="86" t="n"/>
      <c r="D6" s="87" t="n"/>
      <c r="E6" s="87" t="n"/>
      <c r="F6" s="73" t="n"/>
      <c r="G6" s="99" t="n"/>
      <c r="H6" s="99" t="n"/>
      <c r="I6" s="100" t="n"/>
      <c r="J6" s="89" t="n"/>
      <c r="K6" s="72" t="n"/>
    </row>
    <row r="7" ht="18" customHeight="1" s="369">
      <c r="A7" s="320" t="n"/>
      <c r="B7" s="115" t="b">
        <v>0</v>
      </c>
      <c r="C7" s="320" t="n"/>
      <c r="D7" s="320" t="n"/>
      <c r="E7" s="320" t="n"/>
      <c r="F7" s="498" t="n"/>
      <c r="H7" s="71" t="n"/>
      <c r="I7" s="88" t="n"/>
      <c r="J7" s="89" t="n"/>
      <c r="K7" s="72" t="n"/>
    </row>
    <row r="8" ht="18" customHeight="1" s="369">
      <c r="A8" s="91" t="n"/>
      <c r="B8" s="91" t="n"/>
      <c r="C8" s="91" t="n"/>
      <c r="D8" s="92" t="n"/>
      <c r="E8" s="93" t="n"/>
      <c r="F8" s="499" t="n"/>
      <c r="G8" s="93" t="n"/>
      <c r="H8" s="96" t="n"/>
      <c r="I8" s="97" t="n"/>
      <c r="J8" s="98" t="n"/>
      <c r="K8" s="80" t="n"/>
    </row>
    <row r="9" ht="18" customHeight="1" s="369">
      <c r="A9" s="106" t="n"/>
      <c r="B9" s="91" t="n"/>
      <c r="C9" s="91" t="n"/>
      <c r="D9" s="92" t="n"/>
      <c r="E9" s="93" t="n"/>
      <c r="F9" s="498" t="n"/>
      <c r="G9" s="93" t="n"/>
      <c r="H9" s="96" t="n"/>
      <c r="I9" s="97" t="n"/>
      <c r="J9" s="98" t="n"/>
      <c r="K9" s="107" t="n"/>
      <c r="L9" s="147" t="n"/>
    </row>
    <row r="10" ht="18" customHeight="1" s="369">
      <c r="A10" s="326" t="inlineStr">
        <is>
          <t>Dynamic Linearity Data Table</t>
        </is>
      </c>
      <c r="B10" s="495" t="n"/>
      <c r="C10" s="495" t="n"/>
      <c r="D10" s="495" t="n"/>
      <c r="E10" s="500" t="n"/>
      <c r="F10" s="501" t="n"/>
      <c r="G10" s="326" t="inlineStr">
        <is>
          <t>Static Proximity Probe / 4-20 mA Vibration Sensor Calibration Data Table</t>
        </is>
      </c>
      <c r="H10" s="495" t="n"/>
      <c r="I10" s="495" t="n"/>
      <c r="J10" s="495" t="n"/>
      <c r="K10" s="500" t="n"/>
      <c r="L10" s="95" t="n"/>
    </row>
    <row r="11" ht="18" customHeight="1" s="369">
      <c r="A11" s="83" t="inlineStr">
        <is>
          <t xml:space="preserve"> Test Frequency:</t>
        </is>
      </c>
      <c r="B11" s="101">
        <f>IF(LINRaw!B13&lt;&gt;"",LINRaw!B13,"")</f>
        <v/>
      </c>
      <c r="C11" s="101">
        <f>IF(LINRaw!C13&lt;&gt;"",LINRaw!C13,"")</f>
        <v/>
      </c>
      <c r="D11" s="82" t="inlineStr">
        <is>
          <t>Max Linearity:</t>
        </is>
      </c>
      <c r="E11" s="82">
        <f>FIXED(MAX('Linfit Worksheet'!G4:G19),2)&amp;" %"</f>
        <v/>
      </c>
      <c r="F11" s="501" t="n"/>
      <c r="G11" s="194" t="n"/>
      <c r="H11" s="194" t="n"/>
      <c r="I11" s="194" t="n"/>
      <c r="J11" s="82" t="inlineStr">
        <is>
          <t>Max Linearity:</t>
        </is>
      </c>
      <c r="K11" s="82">
        <f>IF(K15&lt;&gt;"",FIXED(MAX(K15:K39)*100,2),"0.00")&amp;" %"</f>
        <v/>
      </c>
      <c r="L11" s="95" t="n"/>
    </row>
    <row r="12" ht="18" customHeight="1" s="369">
      <c r="A12" s="324" t="inlineStr">
        <is>
          <t>Index</t>
        </is>
      </c>
      <c r="B12" s="324" t="inlineStr">
        <is>
          <t>Input</t>
        </is>
      </c>
      <c r="C12" s="324" t="inlineStr">
        <is>
          <t>Output</t>
        </is>
      </c>
      <c r="D12" s="32" t="inlineStr">
        <is>
          <t>Sensitivity</t>
        </is>
      </c>
      <c r="E12" s="32" t="inlineStr">
        <is>
          <t>Linearity</t>
        </is>
      </c>
      <c r="F12" s="501" t="n"/>
      <c r="G12" s="325" t="inlineStr">
        <is>
          <t>Index</t>
        </is>
      </c>
      <c r="H12" s="199" t="inlineStr">
        <is>
          <t>Acceleration</t>
        </is>
      </c>
      <c r="I12" s="325" t="inlineStr">
        <is>
          <t>Output</t>
        </is>
      </c>
      <c r="J12" s="32" t="inlineStr">
        <is>
          <t>Sensitivity</t>
        </is>
      </c>
      <c r="K12" s="32" t="inlineStr">
        <is>
          <t>Linearity</t>
        </is>
      </c>
      <c r="L12" s="95" t="n"/>
    </row>
    <row r="13" ht="18" customHeight="1" s="369">
      <c r="A13" s="502" t="n"/>
      <c r="B13" s="324">
        <f>IF(LINRaw!G13&lt;&gt;"",LINRaw!G13,"")</f>
        <v/>
      </c>
      <c r="C13" s="324">
        <f>IF(D13&lt;&gt;0,LEFT(D13,FIND("/",D13,1)-1),"")</f>
        <v/>
      </c>
      <c r="D13" s="32">
        <f>LINRaw!E13</f>
        <v/>
      </c>
      <c r="E13" s="32" t="inlineStr">
        <is>
          <t>%</t>
        </is>
      </c>
      <c r="F13" s="501" t="n"/>
      <c r="G13" s="502" t="n"/>
      <c r="H13" s="199" t="inlineStr">
        <is>
          <t>g pk</t>
        </is>
      </c>
      <c r="I13" s="199" t="inlineStr">
        <is>
          <t>mV</t>
        </is>
      </c>
      <c r="J13" s="32">
        <f>I13&amp;"/"&amp;'Linfit Worksheet'!AD1</f>
        <v/>
      </c>
      <c r="K13" s="32" t="inlineStr">
        <is>
          <t>%</t>
        </is>
      </c>
      <c r="L13" s="95" t="n"/>
    </row>
    <row r="14" ht="18" customHeight="1" s="369">
      <c r="A14" s="84" t="n">
        <v>1</v>
      </c>
      <c r="B14" s="113">
        <f>IF(LINRaw!B13&gt;0,LINRaw!F13,"")</f>
        <v/>
      </c>
      <c r="C14" s="114">
        <f>IF(B14&lt;&gt;"",D14*B14,"")</f>
        <v/>
      </c>
      <c r="D14" s="31">
        <f>IF(LINRaw!B13&gt;0,LINRaw!D13,"")</f>
        <v/>
      </c>
      <c r="E14" s="503">
        <f>'Linfit Worksheet'!F4</f>
        <v/>
      </c>
      <c r="F14" s="501" t="n"/>
      <c r="G14" s="84" t="inlineStr">
        <is>
          <t>Starting Point</t>
        </is>
      </c>
      <c r="H14" s="270" t="n"/>
      <c r="I14" s="504" t="n"/>
      <c r="J14" s="32" t="n"/>
      <c r="K14" s="32" t="n"/>
      <c r="L14" s="95" t="n"/>
    </row>
    <row r="15" ht="18" customHeight="1" s="369">
      <c r="A15" s="84" t="n">
        <v>2</v>
      </c>
      <c r="B15" s="113">
        <f>IF(LINRaw!B14&gt;0,LINRaw!F14,"")</f>
        <v/>
      </c>
      <c r="C15" s="114">
        <f>IF(B15&lt;&gt;"",D15*B15,"")</f>
        <v/>
      </c>
      <c r="D15" s="31">
        <f>IF(LINRaw!B14&gt;0,LINRaw!D14,"")</f>
        <v/>
      </c>
      <c r="E15" s="503">
        <f>'Linfit Worksheet'!F5</f>
        <v/>
      </c>
      <c r="F15" s="501" t="n"/>
      <c r="G15" s="84" t="n">
        <v>1</v>
      </c>
      <c r="H15" s="192" t="n"/>
      <c r="I15" s="504" t="n"/>
      <c r="J15" s="31">
        <f>IF(H15&lt;&gt;"",IF(I15&lt;&gt;"",(I15-I14)/(H15-H14),""),"")</f>
        <v/>
      </c>
      <c r="K15" s="505">
        <f>IF(H15&lt;&gt;"",IF(I15&lt;&gt;"",'Linfit Worksheet'!N4,""),"")</f>
        <v/>
      </c>
      <c r="L15" s="95" t="n"/>
    </row>
    <row r="16" ht="18" customHeight="1" s="369">
      <c r="A16" s="84" t="n">
        <v>3</v>
      </c>
      <c r="B16" s="113">
        <f>IF(LINRaw!B15&gt;0,LINRaw!F15,"")</f>
        <v/>
      </c>
      <c r="C16" s="114">
        <f>IF(B16&lt;&gt;"",D16*B16,"")</f>
        <v/>
      </c>
      <c r="D16" s="31">
        <f>IF(LINRaw!B15&gt;0,LINRaw!D15,"")</f>
        <v/>
      </c>
      <c r="E16" s="503">
        <f>'Linfit Worksheet'!F6</f>
        <v/>
      </c>
      <c r="F16" s="501" t="n"/>
      <c r="G16" s="84" t="n">
        <v>2</v>
      </c>
      <c r="H16" s="270" t="n"/>
      <c r="I16" s="504" t="n"/>
      <c r="J16" s="31">
        <f>IF(H16&lt;&gt;"",IF(I16&lt;&gt;"",(I16-I15)/(H16-H15),""),"")</f>
        <v/>
      </c>
      <c r="K16" s="505">
        <f>IF(H16&lt;&gt;"",IF(I16&lt;&gt;"",'Linfit Worksheet'!N5,""),"")</f>
        <v/>
      </c>
      <c r="L16" s="95" t="n"/>
    </row>
    <row r="17" ht="18" customHeight="1" s="369">
      <c r="A17" s="84" t="n">
        <v>4</v>
      </c>
      <c r="B17" s="113">
        <f>IF(LINRaw!B16&gt;0,LINRaw!F16,"")</f>
        <v/>
      </c>
      <c r="C17" s="114">
        <f>IF(B17&lt;&gt;"",D17*B17,"")</f>
        <v/>
      </c>
      <c r="D17" s="31">
        <f>IF(LINRaw!B16&gt;0,LINRaw!D16,"")</f>
        <v/>
      </c>
      <c r="E17" s="503">
        <f>'Linfit Worksheet'!F7</f>
        <v/>
      </c>
      <c r="F17" s="501" t="n"/>
      <c r="G17" s="84" t="n">
        <v>3</v>
      </c>
      <c r="H17" s="192" t="n"/>
      <c r="I17" s="504" t="n"/>
      <c r="J17" s="31">
        <f>IF(H17&lt;&gt;"",IF(I17&lt;&gt;"",(I17-I16)/(H17-H16),""),"")</f>
        <v/>
      </c>
      <c r="K17" s="505">
        <f>IF(H17&lt;&gt;"",IF(I17&lt;&gt;"",'Linfit Worksheet'!N6,""),"")</f>
        <v/>
      </c>
      <c r="L17" s="95" t="n"/>
    </row>
    <row r="18" ht="18" customHeight="1" s="369">
      <c r="A18" s="84" t="n">
        <v>5</v>
      </c>
      <c r="B18" s="113">
        <f>IF(LINRaw!B17&gt;0,LINRaw!F17,"")</f>
        <v/>
      </c>
      <c r="C18" s="114">
        <f>IF(B18&lt;&gt;"",D18*B18,"")</f>
        <v/>
      </c>
      <c r="D18" s="31">
        <f>IF(LINRaw!B17&gt;0,LINRaw!D17,"")</f>
        <v/>
      </c>
      <c r="E18" s="503">
        <f>'Linfit Worksheet'!F8</f>
        <v/>
      </c>
      <c r="F18" s="501" t="n"/>
      <c r="G18" s="84" t="n">
        <v>4</v>
      </c>
      <c r="H18" s="270" t="n"/>
      <c r="I18" s="504" t="n"/>
      <c r="J18" s="31">
        <f>IF(H18&lt;&gt;"",IF(I18&lt;&gt;"",(I18-I17)/(H18-H17),""),"")</f>
        <v/>
      </c>
      <c r="K18" s="505">
        <f>IF(H18&lt;&gt;"",IF(I18&lt;&gt;"",'Linfit Worksheet'!N7,""),"")</f>
        <v/>
      </c>
      <c r="L18" s="95" t="n"/>
    </row>
    <row r="19" ht="18" customHeight="1" s="369">
      <c r="A19" s="84" t="n">
        <v>6</v>
      </c>
      <c r="B19" s="113">
        <f>IF(LINRaw!B18&gt;0,LINRaw!F18,"")</f>
        <v/>
      </c>
      <c r="C19" s="114">
        <f>IF(B19&lt;&gt;"",D19*B19,"")</f>
        <v/>
      </c>
      <c r="D19" s="31">
        <f>IF(LINRaw!B18&gt;0,LINRaw!D18,"")</f>
        <v/>
      </c>
      <c r="E19" s="503">
        <f>'Linfit Worksheet'!F9</f>
        <v/>
      </c>
      <c r="F19" s="501" t="n"/>
      <c r="G19" s="84" t="n">
        <v>5</v>
      </c>
      <c r="H19" s="192" t="n"/>
      <c r="I19" s="504" t="n"/>
      <c r="J19" s="31">
        <f>IF(H19&lt;&gt;"",IF(I19&lt;&gt;"",(I19-I18)/(H19-H18),""),"")</f>
        <v/>
      </c>
      <c r="K19" s="505">
        <f>IF(H19&lt;&gt;"",IF(I19&lt;&gt;"",'Linfit Worksheet'!N8,""),"")</f>
        <v/>
      </c>
      <c r="L19" s="95" t="n"/>
    </row>
    <row r="20" ht="18" customHeight="1" s="369">
      <c r="A20" s="84" t="n">
        <v>7</v>
      </c>
      <c r="B20" s="113">
        <f>IF(LINRaw!B19&gt;0,LINRaw!F19,"")</f>
        <v/>
      </c>
      <c r="C20" s="114">
        <f>IF(B20&lt;&gt;"",D20*B20,"")</f>
        <v/>
      </c>
      <c r="D20" s="31">
        <f>IF(LINRaw!B19&gt;0,LINRaw!D19,"")</f>
        <v/>
      </c>
      <c r="E20" s="503">
        <f>'Linfit Worksheet'!F10</f>
        <v/>
      </c>
      <c r="F20" s="501" t="n"/>
      <c r="G20" s="84" t="n">
        <v>6</v>
      </c>
      <c r="H20" s="270" t="n"/>
      <c r="I20" s="504" t="n"/>
      <c r="J20" s="31">
        <f>IF(H20&lt;&gt;"",IF(I20&lt;&gt;"",(I20-I19)/(H20-H19),""),"")</f>
        <v/>
      </c>
      <c r="K20" s="505">
        <f>IF(H20&lt;&gt;"",IF(I20&lt;&gt;"",'Linfit Worksheet'!N9,""),"")</f>
        <v/>
      </c>
      <c r="L20" s="95" t="n"/>
    </row>
    <row r="21" ht="18" customHeight="1" s="369">
      <c r="A21" s="84" t="n">
        <v>8</v>
      </c>
      <c r="B21" s="113">
        <f>IF(LINRaw!B20&gt;0,LINRaw!F20,"")</f>
        <v/>
      </c>
      <c r="C21" s="114">
        <f>IF(B21&lt;&gt;"",D21*B21,"")</f>
        <v/>
      </c>
      <c r="D21" s="31">
        <f>IF(LINRaw!B20&gt;0,LINRaw!D20,"")</f>
        <v/>
      </c>
      <c r="E21" s="503">
        <f>'Linfit Worksheet'!F11</f>
        <v/>
      </c>
      <c r="F21" s="501" t="n"/>
      <c r="G21" s="84" t="n">
        <v>7</v>
      </c>
      <c r="H21" s="192" t="n"/>
      <c r="I21" s="504" t="n"/>
      <c r="J21" s="31">
        <f>IF(H21&lt;&gt;"",IF(I21&lt;&gt;"",(I21-I20)/(H21-H20),""),"")</f>
        <v/>
      </c>
      <c r="K21" s="505">
        <f>IF(H21&lt;&gt;"",IF(I21&lt;&gt;"",'Linfit Worksheet'!N10,""),"")</f>
        <v/>
      </c>
      <c r="L21" s="95" t="n"/>
    </row>
    <row r="22" ht="18" customHeight="1" s="369">
      <c r="A22" s="84" t="n">
        <v>9</v>
      </c>
      <c r="B22" s="113">
        <f>IF(LINRaw!B21&gt;0,LINRaw!F21,"")</f>
        <v/>
      </c>
      <c r="C22" s="114">
        <f>IF(B22&lt;&gt;"",D22*B22,"")</f>
        <v/>
      </c>
      <c r="D22" s="31">
        <f>IF(LINRaw!B21&gt;0,LINRaw!D21,"")</f>
        <v/>
      </c>
      <c r="E22" s="503">
        <f>'Linfit Worksheet'!F12</f>
        <v/>
      </c>
      <c r="F22" s="501" t="n"/>
      <c r="G22" s="84" t="n">
        <v>8</v>
      </c>
      <c r="H22" s="270" t="n"/>
      <c r="I22" s="504" t="n"/>
      <c r="J22" s="31">
        <f>IF(H22&lt;&gt;"",IF(I22&lt;&gt;"",(I22-I21)/(H22-H21),""),"")</f>
        <v/>
      </c>
      <c r="K22" s="505">
        <f>IF(H22&lt;&gt;"",IF(I22&lt;&gt;"",'Linfit Worksheet'!N11,""),"")</f>
        <v/>
      </c>
      <c r="L22" s="95" t="n"/>
    </row>
    <row r="23" ht="18" customHeight="1" s="369">
      <c r="A23" s="84" t="n">
        <v>10</v>
      </c>
      <c r="B23" s="113">
        <f>IF(LINRaw!B22&gt;0,LINRaw!F22,"")</f>
        <v/>
      </c>
      <c r="C23" s="114">
        <f>IF(B23&lt;&gt;"",D23*B23,"")</f>
        <v/>
      </c>
      <c r="D23" s="31">
        <f>IF(LINRaw!B22&gt;0,LINRaw!D22,"")</f>
        <v/>
      </c>
      <c r="E23" s="503">
        <f>'Linfit Worksheet'!F13</f>
        <v/>
      </c>
      <c r="F23" s="501" t="n"/>
      <c r="G23" s="84" t="n">
        <v>9</v>
      </c>
      <c r="H23" s="192" t="n"/>
      <c r="I23" s="504" t="n"/>
      <c r="J23" s="31">
        <f>IF(H23&lt;&gt;"",IF(I23&lt;&gt;"",(I23-I22)/(H23-H22),""),"")</f>
        <v/>
      </c>
      <c r="K23" s="505">
        <f>IF(H23&lt;&gt;"",IF(I23&lt;&gt;"",'Linfit Worksheet'!N12,""),"")</f>
        <v/>
      </c>
      <c r="L23" s="95" t="n"/>
    </row>
    <row r="24" ht="18" customHeight="1" s="369">
      <c r="A24" s="84" t="n">
        <v>11</v>
      </c>
      <c r="B24" s="113">
        <f>IF(LINRaw!B23&gt;0,LINRaw!F23,"")</f>
        <v/>
      </c>
      <c r="C24" s="114">
        <f>IF(B24&lt;&gt;"",D24*B24,"")</f>
        <v/>
      </c>
      <c r="D24" s="31">
        <f>IF(LINRaw!B23&gt;0,LINRaw!D23,"")</f>
        <v/>
      </c>
      <c r="E24" s="503">
        <f>'Linfit Worksheet'!F14</f>
        <v/>
      </c>
      <c r="F24" s="501" t="n"/>
      <c r="G24" s="84" t="n">
        <v>10</v>
      </c>
      <c r="H24" s="270" t="n"/>
      <c r="I24" s="504" t="n"/>
      <c r="J24" s="31">
        <f>IF(H24&lt;&gt;"",IF(I24&lt;&gt;"",(I24-I23)/(H24-H23),""),"")</f>
        <v/>
      </c>
      <c r="K24" s="505">
        <f>IF(H24&lt;&gt;"",IF(I24&lt;&gt;"",'Linfit Worksheet'!N13,""),"")</f>
        <v/>
      </c>
      <c r="L24" s="95" t="n"/>
    </row>
    <row r="25" ht="18" customHeight="1" s="369">
      <c r="A25" s="84" t="n">
        <v>12</v>
      </c>
      <c r="B25" s="113">
        <f>IF(LINRaw!B24&gt;0,LINRaw!F24,"")</f>
        <v/>
      </c>
      <c r="C25" s="114">
        <f>IF(B25&lt;&gt;"",D25*B25,"")</f>
        <v/>
      </c>
      <c r="D25" s="31">
        <f>IF(LINRaw!B24&gt;0,LINRaw!D24,"")</f>
        <v/>
      </c>
      <c r="E25" s="503">
        <f>'Linfit Worksheet'!F15</f>
        <v/>
      </c>
      <c r="F25" s="501" t="n"/>
      <c r="G25" s="84" t="n">
        <v>11</v>
      </c>
      <c r="H25" s="192" t="n"/>
      <c r="I25" s="504" t="n"/>
      <c r="J25" s="31">
        <f>IF(H25&lt;&gt;"",IF(I25&lt;&gt;"",(I25-I24)/(H25-H24),""),"")</f>
        <v/>
      </c>
      <c r="K25" s="505">
        <f>IF(H25&lt;&gt;"",IF(I25&lt;&gt;"",'Linfit Worksheet'!N14,""),"")</f>
        <v/>
      </c>
      <c r="L25" s="95" t="n"/>
    </row>
    <row r="26" ht="18" customHeight="1" s="369">
      <c r="A26" s="84" t="n">
        <v>13</v>
      </c>
      <c r="B26" s="113">
        <f>IF(LINRaw!B25&gt;0,LINRaw!F25,"")</f>
        <v/>
      </c>
      <c r="C26" s="114">
        <f>IF(B26&lt;&gt;"",D26*B26,"")</f>
        <v/>
      </c>
      <c r="D26" s="31">
        <f>IF(LINRaw!B25&gt;0,LINRaw!D25,"")</f>
        <v/>
      </c>
      <c r="E26" s="503">
        <f>'Linfit Worksheet'!F16</f>
        <v/>
      </c>
      <c r="F26" s="501" t="n"/>
      <c r="G26" s="84" t="n">
        <v>12</v>
      </c>
      <c r="H26" s="270" t="n"/>
      <c r="I26" s="504" t="n"/>
      <c r="J26" s="31">
        <f>IF(H26&lt;&gt;"",IF(I26&lt;&gt;"",(I26-I25)/(H26-H25),""),"")</f>
        <v/>
      </c>
      <c r="K26" s="505">
        <f>IF(H26&lt;&gt;"",IF(I26&lt;&gt;"",'Linfit Worksheet'!N15,""),"")</f>
        <v/>
      </c>
      <c r="L26" s="95" t="n"/>
    </row>
    <row r="27" ht="18" customHeight="1" s="369">
      <c r="A27" s="84" t="n">
        <v>14</v>
      </c>
      <c r="B27" s="113">
        <f>IF(LINRaw!B26&gt;0,LINRaw!F26,"")</f>
        <v/>
      </c>
      <c r="C27" s="114">
        <f>IF(B27&lt;&gt;"",D27*B27,"")</f>
        <v/>
      </c>
      <c r="D27" s="31">
        <f>IF(LINRaw!B26&gt;0,LINRaw!D26,"")</f>
        <v/>
      </c>
      <c r="E27" s="503">
        <f>'Linfit Worksheet'!F17</f>
        <v/>
      </c>
      <c r="F27" s="501" t="n"/>
      <c r="G27" s="84" t="n">
        <v>13</v>
      </c>
      <c r="H27" s="192" t="n"/>
      <c r="I27" s="504" t="n"/>
      <c r="J27" s="31">
        <f>IF(H27&lt;&gt;"",IF(I27&lt;&gt;"",(I27-I26)/(H27-H26),""),"")</f>
        <v/>
      </c>
      <c r="K27" s="505">
        <f>IF(H27&lt;&gt;"",IF(I27&lt;&gt;"",'Linfit Worksheet'!N16,""),"")</f>
        <v/>
      </c>
      <c r="L27" s="95" t="n"/>
    </row>
    <row r="28" ht="18" customHeight="1" s="369">
      <c r="A28" s="84" t="n">
        <v>15</v>
      </c>
      <c r="B28" s="113">
        <f>IF(LINRaw!B27&gt;0,LINRaw!F27,"")</f>
        <v/>
      </c>
      <c r="C28" s="114">
        <f>IF(B28&lt;&gt;"",D28*B28,"")</f>
        <v/>
      </c>
      <c r="D28" s="31">
        <f>IF(LINRaw!B27&gt;0,LINRaw!D27,"")</f>
        <v/>
      </c>
      <c r="E28" s="503">
        <f>'Linfit Worksheet'!F18</f>
        <v/>
      </c>
      <c r="F28" s="501" t="n"/>
      <c r="G28" s="84" t="n">
        <v>14</v>
      </c>
      <c r="H28" s="270" t="n"/>
      <c r="I28" s="504" t="n"/>
      <c r="J28" s="31">
        <f>IF(H28&lt;&gt;"",IF(I28&lt;&gt;"",(I28-I27)/(H28-H27),""),"")</f>
        <v/>
      </c>
      <c r="K28" s="505">
        <f>IF(H28&lt;&gt;"",IF(I28&lt;&gt;"",'Linfit Worksheet'!N17,""),"")</f>
        <v/>
      </c>
      <c r="L28" s="95" t="n"/>
    </row>
    <row r="29" ht="18" customHeight="1" s="369">
      <c r="A29" s="84" t="n">
        <v>16</v>
      </c>
      <c r="B29" s="113">
        <f>IF(LINRaw!B28&gt;0,LINRaw!F28,"")</f>
        <v/>
      </c>
      <c r="C29" s="114">
        <f>IF(B29&lt;&gt;"",D29*B29,"")</f>
        <v/>
      </c>
      <c r="D29" s="31">
        <f>IF(LINRaw!B28&gt;0,LINRaw!D28,"")</f>
        <v/>
      </c>
      <c r="E29" s="503">
        <f>'Linfit Worksheet'!F19</f>
        <v/>
      </c>
      <c r="F29" s="501" t="n"/>
      <c r="G29" s="84" t="n">
        <v>15</v>
      </c>
      <c r="H29" s="192" t="n"/>
      <c r="I29" s="504" t="n"/>
      <c r="J29" s="31">
        <f>IF(H29&lt;&gt;"",IF(I29&lt;&gt;"",(I29-I28)/(H29-H28),""),"")</f>
        <v/>
      </c>
      <c r="K29" s="505">
        <f>IF(H29&lt;&gt;"",IF(I29&lt;&gt;"",'Linfit Worksheet'!N18,""),"")</f>
        <v/>
      </c>
      <c r="L29" s="95" t="n"/>
    </row>
    <row r="30" ht="18" customHeight="1" s="369">
      <c r="A30" s="84" t="n">
        <v>17</v>
      </c>
      <c r="B30" s="113">
        <f>IF(LINRaw!B29&gt;0,LINRaw!F29,"")</f>
        <v/>
      </c>
      <c r="C30" s="114">
        <f>IF(B30&lt;&gt;"",D30*B30,"")</f>
        <v/>
      </c>
      <c r="D30" s="31">
        <f>IF(LINRaw!B29&gt;0,LINRaw!D29,"")</f>
        <v/>
      </c>
      <c r="E30" s="503">
        <f>'Linfit Worksheet'!F20</f>
        <v/>
      </c>
      <c r="F30" s="501" t="n"/>
      <c r="G30" s="84" t="n">
        <v>16</v>
      </c>
      <c r="H30" s="270" t="n"/>
      <c r="I30" s="504" t="n"/>
      <c r="J30" s="31">
        <f>IF(H30&lt;&gt;"",IF(I30&lt;&gt;"",(I30-I29)/(H30-H29),""),"")</f>
        <v/>
      </c>
      <c r="K30" s="505">
        <f>IF(H30&lt;&gt;"",IF(I30&lt;&gt;"",'Linfit Worksheet'!N19,""),"")</f>
        <v/>
      </c>
      <c r="L30" s="95" t="n"/>
    </row>
    <row r="31" ht="18" customHeight="1" s="369">
      <c r="A31" s="84" t="n">
        <v>18</v>
      </c>
      <c r="B31" s="113">
        <f>IF(LINRaw!B30&gt;0,LINRaw!F30,"")</f>
        <v/>
      </c>
      <c r="C31" s="114">
        <f>IF(B31&lt;&gt;"",D31*B31,"")</f>
        <v/>
      </c>
      <c r="D31" s="31">
        <f>IF(LINRaw!B30&gt;0,LINRaw!D30,"")</f>
        <v/>
      </c>
      <c r="E31" s="503">
        <f>'Linfit Worksheet'!F21</f>
        <v/>
      </c>
      <c r="F31" s="501" t="n"/>
      <c r="G31" s="84" t="n">
        <v>17</v>
      </c>
      <c r="H31" s="192" t="n"/>
      <c r="I31" s="504" t="n"/>
      <c r="J31" s="31">
        <f>IF(H31&lt;&gt;"",IF(I31&lt;&gt;"",(I31-I30)/(H31-H30),""),"")</f>
        <v/>
      </c>
      <c r="K31" s="505">
        <f>IF(H31&lt;&gt;"",IF(I31&lt;&gt;"",'Linfit Worksheet'!N20,""),"")</f>
        <v/>
      </c>
      <c r="L31" s="95" t="n"/>
    </row>
    <row r="32" ht="18" customHeight="1" s="369">
      <c r="A32" s="84" t="n">
        <v>19</v>
      </c>
      <c r="B32" s="113">
        <f>IF(LINRaw!B31&gt;0,LINRaw!F31,"")</f>
        <v/>
      </c>
      <c r="C32" s="114">
        <f>IF(B32&lt;&gt;"",D32*B32,"")</f>
        <v/>
      </c>
      <c r="D32" s="31">
        <f>IF(LINRaw!B31&gt;0,LINRaw!D31,"")</f>
        <v/>
      </c>
      <c r="E32" s="503">
        <f>'Linfit Worksheet'!F22</f>
        <v/>
      </c>
      <c r="F32" s="501" t="n"/>
      <c r="G32" s="84" t="n">
        <v>18</v>
      </c>
      <c r="H32" s="270" t="n"/>
      <c r="I32" s="504" t="n"/>
      <c r="J32" s="31">
        <f>IF(H32&lt;&gt;"",IF(I32&lt;&gt;"",(I32-I31)/(H32-H31),""),"")</f>
        <v/>
      </c>
      <c r="K32" s="505">
        <f>IF(H32&lt;&gt;"",IF(I32&lt;&gt;"",'Linfit Worksheet'!N21,""),"")</f>
        <v/>
      </c>
      <c r="L32" s="95" t="n"/>
    </row>
    <row r="33" ht="18" customHeight="1" s="369">
      <c r="A33" s="84" t="n">
        <v>20</v>
      </c>
      <c r="B33" s="113">
        <f>IF(LINRaw!B32&gt;0,LINRaw!F32,"")</f>
        <v/>
      </c>
      <c r="C33" s="114">
        <f>IF(B33&lt;&gt;"",D33*B33,"")</f>
        <v/>
      </c>
      <c r="D33" s="31">
        <f>IF(LINRaw!B32&gt;0,LINRaw!D32,"")</f>
        <v/>
      </c>
      <c r="E33" s="503">
        <f>'Linfit Worksheet'!F23</f>
        <v/>
      </c>
      <c r="F33" s="104" t="n"/>
      <c r="G33" s="84" t="n">
        <v>19</v>
      </c>
      <c r="H33" s="192" t="n"/>
      <c r="I33" s="504" t="n"/>
      <c r="J33" s="31">
        <f>IF(H33&lt;&gt;"",IF(I33&lt;&gt;"",(I33-I32)/(H33-H32),""),"")</f>
        <v/>
      </c>
      <c r="K33" s="505">
        <f>IF(H33&lt;&gt;"",IF(I33&lt;&gt;"",'Linfit Worksheet'!N22,""),"")</f>
        <v/>
      </c>
      <c r="L33" s="95" t="n"/>
    </row>
    <row r="34" ht="18" customHeight="1" s="369">
      <c r="A34" s="84" t="n">
        <v>21</v>
      </c>
      <c r="B34" s="113">
        <f>IF(LINRaw!B33&gt;0,LINRaw!F33,"")</f>
        <v/>
      </c>
      <c r="C34" s="114">
        <f>IF(B34&lt;&gt;"",D34*B34,"")</f>
        <v/>
      </c>
      <c r="D34" s="31">
        <f>IF(LINRaw!B33&gt;0,LINRaw!D33,"")</f>
        <v/>
      </c>
      <c r="E34" s="503">
        <f>'Linfit Worksheet'!F24</f>
        <v/>
      </c>
      <c r="F34" s="102" t="n"/>
      <c r="G34" s="84" t="n">
        <v>20</v>
      </c>
      <c r="H34" s="270" t="n"/>
      <c r="I34" s="504" t="n"/>
      <c r="J34" s="31">
        <f>IF(H34&lt;&gt;"",IF(I34&lt;&gt;"",(I34-I33)/(H34-H33),""),"")</f>
        <v/>
      </c>
      <c r="K34" s="505">
        <f>IF(H34&lt;&gt;"",IF(I34&lt;&gt;"",'Linfit Worksheet'!N23,""),"")</f>
        <v/>
      </c>
    </row>
    <row r="35" ht="18" customHeight="1" s="369">
      <c r="A35" s="84" t="n">
        <v>22</v>
      </c>
      <c r="B35" s="113">
        <f>IF(LINRaw!B34&gt;0,LINRaw!F34,"")</f>
        <v/>
      </c>
      <c r="C35" s="114">
        <f>IF(B35&lt;&gt;"",D35*B35,"")</f>
        <v/>
      </c>
      <c r="D35" s="31">
        <f>IF(LINRaw!B34&gt;0,LINRaw!D34,"")</f>
        <v/>
      </c>
      <c r="E35" s="503">
        <f>'Linfit Worksheet'!F25</f>
        <v/>
      </c>
      <c r="F35" s="102" t="n"/>
      <c r="G35" s="84" t="n">
        <v>21</v>
      </c>
      <c r="H35" s="192" t="n"/>
      <c r="I35" s="504" t="n"/>
      <c r="J35" s="31">
        <f>IF(H35&lt;&gt;"",IF(I35&lt;&gt;"",(I35-I34)/(H35-H34),""),"")</f>
        <v/>
      </c>
      <c r="K35" s="505">
        <f>IF(H35&lt;&gt;"",IF(I35&lt;&gt;"",'Linfit Worksheet'!N24,""),"")</f>
        <v/>
      </c>
    </row>
    <row r="36" ht="18" customHeight="1" s="369">
      <c r="A36" s="84" t="n">
        <v>23</v>
      </c>
      <c r="B36" s="113">
        <f>IF(LINRaw!B35&gt;0,LINRaw!F35,"")</f>
        <v/>
      </c>
      <c r="C36" s="114">
        <f>IF(B36&lt;&gt;"",D36*B36,"")</f>
        <v/>
      </c>
      <c r="D36" s="31">
        <f>IF(LINRaw!B35&gt;0,LINRaw!D35,"")</f>
        <v/>
      </c>
      <c r="E36" s="503">
        <f>'Linfit Worksheet'!F26</f>
        <v/>
      </c>
      <c r="F36" s="102" t="n"/>
      <c r="G36" s="84" t="n">
        <v>22</v>
      </c>
      <c r="H36" s="270" t="n"/>
      <c r="I36" s="504" t="n"/>
      <c r="J36" s="31">
        <f>IF(H36&lt;&gt;"",IF(I36&lt;&gt;"",(I36-I35)/(H36-H35),""),"")</f>
        <v/>
      </c>
      <c r="K36" s="505">
        <f>IF(H36&lt;&gt;"",IF(I36&lt;&gt;"",'Linfit Worksheet'!N25,""),"")</f>
        <v/>
      </c>
    </row>
    <row r="37" ht="18" customHeight="1" s="369">
      <c r="A37" s="84" t="n">
        <v>24</v>
      </c>
      <c r="B37" s="113">
        <f>IF(LINRaw!B36&gt;0,LINRaw!F36,"")</f>
        <v/>
      </c>
      <c r="C37" s="114">
        <f>IF(B37&lt;&gt;"",D37*B37,"")</f>
        <v/>
      </c>
      <c r="D37" s="31">
        <f>IF(LINRaw!B36&gt;0,LINRaw!D36,"")</f>
        <v/>
      </c>
      <c r="E37" s="503">
        <f>'Linfit Worksheet'!F27</f>
        <v/>
      </c>
      <c r="F37" s="103" t="n"/>
      <c r="G37" s="84" t="n">
        <v>23</v>
      </c>
      <c r="H37" s="192" t="n"/>
      <c r="I37" s="504" t="n"/>
      <c r="J37" s="31">
        <f>IF(H37&lt;&gt;"",IF(I37&lt;&gt;"",(I37-I36)/(H37-H36),""),"")</f>
        <v/>
      </c>
      <c r="K37" s="505">
        <f>IF(H37&lt;&gt;"",IF(I37&lt;&gt;"",'Linfit Worksheet'!N26,""),"")</f>
        <v/>
      </c>
    </row>
    <row r="38" ht="18" customHeight="1" s="369">
      <c r="A38" s="84" t="n">
        <v>25</v>
      </c>
      <c r="B38" s="113">
        <f>IF(LINRaw!B37&gt;0,LINRaw!F37,"")</f>
        <v/>
      </c>
      <c r="C38" s="114">
        <f>IF(B38&lt;&gt;"",D38*B38,"")</f>
        <v/>
      </c>
      <c r="D38" s="31">
        <f>IF(LINRaw!B37&gt;0,LINRaw!D37,"")</f>
        <v/>
      </c>
      <c r="E38" s="503">
        <f>'Linfit Worksheet'!F28</f>
        <v/>
      </c>
      <c r="F38" s="103" t="n"/>
      <c r="G38" s="84" t="n">
        <v>24</v>
      </c>
      <c r="H38" s="270" t="n"/>
      <c r="I38" s="504" t="n"/>
      <c r="J38" s="31">
        <f>IF(H38&lt;&gt;"",IF(I38&lt;&gt;"",(I38-I37)/(H38-H37),""),"")</f>
        <v/>
      </c>
      <c r="K38" s="505">
        <f>IF(H38&lt;&gt;"",IF(I38&lt;&gt;"",'Linfit Worksheet'!N27,""),"")</f>
        <v/>
      </c>
    </row>
    <row r="39" ht="18" customHeight="1" s="369">
      <c r="A39" s="84" t="n">
        <v>26</v>
      </c>
      <c r="B39" s="113">
        <f>IF(LINRaw!B38&gt;0,LINRaw!F38,"")</f>
        <v/>
      </c>
      <c r="C39" s="114">
        <f>IF(B39&lt;&gt;"",D39*B39,"")</f>
        <v/>
      </c>
      <c r="D39" s="31">
        <f>IF(LINRaw!B38&gt;0,LINRaw!D38,"")</f>
        <v/>
      </c>
      <c r="E39" s="503">
        <f>'Linfit Worksheet'!F29</f>
        <v/>
      </c>
      <c r="F39" s="103" t="n"/>
      <c r="G39" s="84" t="n">
        <v>25</v>
      </c>
      <c r="H39" s="192" t="n"/>
      <c r="I39" s="504" t="n"/>
      <c r="J39" s="31">
        <f>IF(H39&lt;&gt;"",IF(I39&lt;&gt;"",(I39-I38)/(H39-H38),""),"")</f>
        <v/>
      </c>
      <c r="K39" s="505">
        <f>IF(H39&lt;&gt;"",IF(I39&lt;&gt;"",'Linfit Worksheet'!N28,""),"")</f>
        <v/>
      </c>
    </row>
    <row r="40" ht="18" customHeight="1" s="369">
      <c r="A40" s="84" t="n">
        <v>27</v>
      </c>
      <c r="B40" s="113">
        <f>IF(LINRaw!B39&gt;0,LINRaw!F39,"")</f>
        <v/>
      </c>
      <c r="C40" s="114">
        <f>IF(B40&lt;&gt;"",D40*B40,"")</f>
        <v/>
      </c>
      <c r="D40" s="31">
        <f>IF(LINRaw!B39&gt;0,LINRaw!D39,"")</f>
        <v/>
      </c>
      <c r="E40" s="503">
        <f>'Linfit Worksheet'!F30</f>
        <v/>
      </c>
      <c r="F40" s="103" t="n"/>
      <c r="G40" s="148" t="n"/>
      <c r="H40" s="149" t="n"/>
      <c r="I40" s="149" t="n"/>
      <c r="J40" s="506" t="n"/>
      <c r="K40" s="498" t="n"/>
    </row>
    <row r="41" ht="18" customHeight="1" s="369">
      <c r="A41" s="84" t="n">
        <v>28</v>
      </c>
      <c r="B41" s="113">
        <f>IF(LINRaw!B40&gt;0,LINRaw!F40,"")</f>
        <v/>
      </c>
      <c r="C41" s="114">
        <f>IF(B41&lt;&gt;"",D41*B41,"")</f>
        <v/>
      </c>
      <c r="D41" s="31">
        <f>IF(LINRaw!B40&gt;0,LINRaw!D40,"")</f>
        <v/>
      </c>
      <c r="E41" s="503">
        <f>'Linfit Worksheet'!F31</f>
        <v/>
      </c>
      <c r="F41" s="103" t="n"/>
      <c r="G41" s="148" t="n"/>
      <c r="H41" s="149" t="n"/>
      <c r="I41" s="149" t="n"/>
      <c r="J41" s="506" t="n"/>
      <c r="K41" s="498" t="n"/>
    </row>
    <row r="42" ht="18" customHeight="1" s="369">
      <c r="A42" s="84" t="n">
        <v>29</v>
      </c>
      <c r="B42" s="113">
        <f>IF(LINRaw!B41&gt;0,LINRaw!F41,"")</f>
        <v/>
      </c>
      <c r="C42" s="114">
        <f>IF(B42&lt;&gt;"",D42*B42,"")</f>
        <v/>
      </c>
      <c r="D42" s="31">
        <f>IF(LINRaw!B41&gt;0,LINRaw!D41,"")</f>
        <v/>
      </c>
      <c r="E42" s="503">
        <f>'Linfit Worksheet'!F32</f>
        <v/>
      </c>
      <c r="F42" s="103" t="n"/>
      <c r="G42" s="148" t="n"/>
      <c r="H42" s="149" t="n"/>
      <c r="I42" s="149" t="n"/>
      <c r="J42" s="506" t="n"/>
      <c r="K42" s="498" t="n"/>
    </row>
    <row r="43" ht="18" customHeight="1" s="369">
      <c r="A43" s="84" t="n">
        <v>30</v>
      </c>
      <c r="B43" s="113">
        <f>IF(LINRaw!B42&gt;0,LINRaw!F42,"")</f>
        <v/>
      </c>
      <c r="C43" s="114">
        <f>IF(B43&lt;&gt;"",D43*B43,"")</f>
        <v/>
      </c>
      <c r="D43" s="31">
        <f>IF(LINRaw!B42&gt;0,LINRaw!D42,"")</f>
        <v/>
      </c>
      <c r="E43" s="503">
        <f>'Linfit Worksheet'!F33</f>
        <v/>
      </c>
      <c r="F43" s="103" t="n"/>
      <c r="G43" s="148" t="n"/>
      <c r="H43" s="149" t="n"/>
      <c r="I43" s="149" t="n"/>
      <c r="J43" s="506" t="n"/>
      <c r="K43" s="498" t="n"/>
    </row>
    <row r="44" ht="18" customHeight="1" s="369">
      <c r="A44" s="78" t="n"/>
      <c r="B44" s="78" t="n"/>
      <c r="C44" s="78" t="n"/>
      <c r="D44" s="79" t="n"/>
      <c r="E44" s="79" t="n"/>
      <c r="G44" s="148" t="n"/>
      <c r="H44" s="149" t="n"/>
      <c r="I44" s="149" t="n"/>
      <c r="J44" s="506" t="n"/>
      <c r="K44" s="498" t="n"/>
    </row>
    <row r="45" hidden="1" ht="18" customHeight="1" s="369">
      <c r="D45" s="320" t="n"/>
      <c r="E45" s="320" t="n"/>
      <c r="G45" s="151" t="n"/>
      <c r="H45" s="149" t="n"/>
      <c r="I45" s="149" t="n"/>
      <c r="J45" s="151" t="n"/>
    </row>
    <row r="46" hidden="1" ht="18" customHeight="1" s="369">
      <c r="D46" s="76" t="n"/>
      <c r="E46" s="76" t="n"/>
      <c r="G46" s="151" t="n"/>
      <c r="H46" s="149" t="n"/>
      <c r="I46" s="149" t="n"/>
      <c r="J46" s="151" t="n"/>
    </row>
    <row r="47" hidden="1" ht="18" customHeight="1" s="369">
      <c r="D47" s="76" t="n"/>
      <c r="E47" s="76" t="n"/>
      <c r="G47" s="151" t="n"/>
      <c r="H47" s="149" t="n"/>
      <c r="I47" s="149" t="n"/>
      <c r="J47" s="151" t="n"/>
    </row>
    <row r="48" hidden="1" ht="18" customHeight="1" s="369">
      <c r="D48" s="76" t="n"/>
      <c r="E48" s="76" t="n"/>
      <c r="G48" s="151" t="n"/>
      <c r="H48" s="149" t="n"/>
      <c r="I48" s="149" t="n"/>
      <c r="J48" s="151" t="n"/>
    </row>
    <row r="49" hidden="1" ht="18" customHeight="1" s="369">
      <c r="D49" s="76" t="n"/>
      <c r="E49" s="76" t="n"/>
      <c r="G49" s="151" t="n"/>
      <c r="H49" s="149" t="n"/>
      <c r="I49" s="149" t="n"/>
      <c r="J49" s="151" t="n"/>
    </row>
    <row r="50" hidden="1" ht="18" customHeight="1" s="369">
      <c r="D50" s="75" t="n"/>
      <c r="E50" s="76" t="n"/>
      <c r="G50" s="151" t="n"/>
      <c r="H50" s="151" t="n"/>
      <c r="I50" s="151" t="n"/>
      <c r="J50" s="151" t="n"/>
      <c r="P50" s="90" t="n"/>
    </row>
    <row r="51" hidden="1" ht="18" customHeight="1" s="369">
      <c r="D51" s="76" t="n"/>
      <c r="E51" s="76" t="n"/>
    </row>
    <row r="52" hidden="1" ht="18" customHeight="1" s="369">
      <c r="D52" s="76" t="n"/>
      <c r="E52" s="76" t="n"/>
    </row>
    <row r="53" hidden="1" ht="18" customHeight="1" s="369">
      <c r="D53" s="76" t="n"/>
      <c r="E53" s="76" t="n"/>
    </row>
    <row r="54" hidden="1" ht="18" customHeight="1" s="369">
      <c r="D54" s="76" t="n"/>
      <c r="E54" s="76" t="n"/>
    </row>
    <row r="55" hidden="1" s="369">
      <c r="D55" s="76" t="n"/>
      <c r="E55" s="76" t="n"/>
    </row>
    <row r="56" hidden="1" s="369">
      <c r="D56" s="76" t="n"/>
      <c r="E56" s="76" t="n"/>
      <c r="F56" s="76" t="n"/>
    </row>
    <row r="57" hidden="1" s="369">
      <c r="D57" s="76" t="n"/>
      <c r="E57" s="76" t="n"/>
      <c r="F57" s="76" t="n"/>
    </row>
    <row r="58" hidden="1" s="369">
      <c r="D58" s="76" t="n"/>
      <c r="E58" s="76" t="n"/>
      <c r="F58" s="76" t="n"/>
    </row>
    <row r="59" hidden="1" s="369">
      <c r="D59" s="76" t="n"/>
      <c r="E59" s="76" t="n"/>
      <c r="F59" s="76" t="n"/>
    </row>
    <row r="60" hidden="1" s="369">
      <c r="D60" s="76" t="n"/>
      <c r="E60" s="76" t="n"/>
      <c r="F60" s="76" t="n"/>
    </row>
    <row r="61" hidden="1" s="369">
      <c r="D61" s="76" t="n"/>
      <c r="E61" s="76" t="n"/>
      <c r="F61" s="76" t="n"/>
    </row>
    <row r="62" hidden="1" s="369">
      <c r="D62" s="76" t="n"/>
      <c r="E62" s="76" t="n"/>
      <c r="F62" s="76" t="n"/>
    </row>
    <row r="63" hidden="1" s="369">
      <c r="D63" s="76" t="n"/>
      <c r="E63" s="76" t="n"/>
      <c r="F63" s="76" t="n"/>
    </row>
    <row r="64" hidden="1" s="369">
      <c r="D64" s="76" t="n"/>
      <c r="E64" s="76" t="n"/>
      <c r="F64" s="76" t="n"/>
    </row>
    <row r="65" hidden="1" s="369">
      <c r="D65" s="76" t="n"/>
      <c r="E65" s="76" t="n"/>
      <c r="F65" s="76" t="n"/>
    </row>
    <row r="66" hidden="1" s="369">
      <c r="D66" s="76" t="n"/>
      <c r="E66" s="76" t="n"/>
      <c r="F66" s="76" t="n"/>
    </row>
    <row r="67" hidden="1" s="369">
      <c r="D67" s="76" t="n"/>
      <c r="E67" s="76" t="n"/>
      <c r="F67" s="76" t="n"/>
    </row>
    <row r="68" hidden="1" s="369">
      <c r="D68" s="76" t="n"/>
      <c r="E68" s="76" t="n"/>
      <c r="F68" s="76" t="n"/>
    </row>
    <row r="69" hidden="1" s="369">
      <c r="D69" s="76" t="n"/>
      <c r="E69" s="76" t="n"/>
      <c r="F69" s="76" t="n"/>
    </row>
    <row r="70" hidden="1" s="369">
      <c r="D70" s="76" t="n"/>
      <c r="E70" s="76" t="n"/>
      <c r="F70" s="76" t="n"/>
    </row>
    <row r="71" hidden="1" s="369">
      <c r="D71" s="76" t="n"/>
      <c r="E71" s="76" t="n"/>
      <c r="F71" s="76" t="n"/>
    </row>
    <row r="72" hidden="1" s="369">
      <c r="D72" s="76" t="n"/>
      <c r="E72" s="76" t="n"/>
      <c r="F72" s="76" t="n"/>
    </row>
    <row r="73" hidden="1" s="369">
      <c r="D73" s="76" t="n"/>
      <c r="E73" s="76" t="n"/>
      <c r="F73" s="76" t="n"/>
    </row>
    <row r="74" hidden="1" s="369">
      <c r="D74" s="76" t="n"/>
      <c r="E74" s="76" t="n"/>
      <c r="F74" s="76" t="n"/>
    </row>
    <row r="75" hidden="1" s="369">
      <c r="D75" s="76" t="n"/>
      <c r="E75" s="76" t="n"/>
      <c r="F75" s="76" t="n"/>
    </row>
    <row r="76" hidden="1" s="369">
      <c r="D76" s="76" t="n"/>
      <c r="E76" s="76" t="n"/>
      <c r="F76" s="76" t="n"/>
    </row>
    <row r="77" hidden="1" s="369">
      <c r="D77" s="76" t="n"/>
      <c r="E77" s="76" t="n"/>
      <c r="F77" s="76" t="n"/>
    </row>
    <row r="78" hidden="1" s="369">
      <c r="D78" s="76" t="n"/>
      <c r="E78" s="76" t="n"/>
      <c r="F78" s="76" t="n"/>
    </row>
    <row r="79" hidden="1" s="369">
      <c r="F79" s="76" t="n"/>
    </row>
    <row r="80" hidden="1" s="369">
      <c r="F80" s="76" t="n"/>
    </row>
    <row r="81" hidden="1" s="369">
      <c r="F81" s="76" t="n"/>
    </row>
    <row r="82" hidden="1" s="369">
      <c r="F82" s="76" t="n"/>
    </row>
    <row r="83" hidden="1" s="369">
      <c r="F83" s="76" t="n"/>
    </row>
    <row r="84" hidden="1" s="369">
      <c r="F84" s="76" t="n"/>
    </row>
    <row r="85" hidden="1" s="369">
      <c r="F85" s="76" t="n"/>
    </row>
    <row r="86" hidden="1" s="369">
      <c r="F86" s="76" t="n"/>
    </row>
    <row r="87" hidden="1" s="369">
      <c r="F87" s="76" t="n"/>
    </row>
    <row r="88" hidden="1" s="369">
      <c r="F88" s="76" t="n"/>
    </row>
    <row r="89" hidden="1" s="369">
      <c r="F89" s="76" t="n"/>
    </row>
    <row r="90" hidden="1" s="369">
      <c r="F90" s="76" t="n"/>
    </row>
    <row r="91" hidden="1" s="369">
      <c r="F91" s="76" t="n"/>
    </row>
    <row r="92" hidden="1" s="369">
      <c r="F92" s="76" t="n"/>
    </row>
    <row r="93" hidden="1" s="369">
      <c r="F93" s="76" t="n"/>
    </row>
    <row r="94" hidden="1" s="369">
      <c r="F94" s="76" t="n"/>
    </row>
    <row r="95" hidden="1" s="369">
      <c r="F95" s="76" t="n"/>
    </row>
    <row r="96" hidden="1" s="369">
      <c r="F96" s="76" t="n"/>
    </row>
    <row r="97" hidden="1" s="369">
      <c r="F97" s="76" t="n"/>
    </row>
    <row r="98" hidden="1" s="369">
      <c r="F98" s="76" t="n"/>
    </row>
    <row r="99" hidden="1" s="369">
      <c r="F99" s="76" t="n"/>
    </row>
  </sheetData>
  <sheetProtection selectLockedCells="1" selectUnlockedCells="0" algorithmName="SHA-512" sheet="1" objects="0" insertRows="1" insertHyperlinks="1" autoFilter="1" scenarios="0" formatColumns="1" deleteColumns="1" insertColumns="1" pivotTables="1" deleteRows="1" formatCells="0" saltValue="g6pGfT0n/YL2GHXn3/4fjw==" formatRows="1" sort="1" spinCount="100000" hashValue="tv6k1RXnuAn268LuA4+EdYJiB9pPPcgGZxJtJi3sVTY3gaC81x0mW1xKxoYWEWfAsueW8vEIwB4jbi45qRv9FQ=="/>
  <mergeCells count="4">
    <mergeCell ref="G10:K10"/>
    <mergeCell ref="A12:A13"/>
    <mergeCell ref="A10:E10"/>
    <mergeCell ref="G12:G13"/>
  </mergeCells>
  <dataValidations count="3">
    <dataValidation sqref="H12" showDropDown="0" showInputMessage="1" showErrorMessage="1" allowBlank="1" type="list">
      <formula1>TypeOfMotion</formula1>
    </dataValidation>
    <dataValidation sqref="H13" showDropDown="0" showInputMessage="1" showErrorMessage="1" allowBlank="1" type="list">
      <formula1>INDIRECT($H$12)</formula1>
    </dataValidation>
    <dataValidation sqref="I13" showDropDown="0" showInputMessage="1" showErrorMessage="1" allowBlank="1" type="list">
      <formula1>VorI</formula1>
    </dataValidation>
  </dataValidations>
  <pageMargins left="0.24" right="0.21" top="0.54" bottom="0.55" header="0.5" footer="0.5"/>
  <pageSetup orientation="landscape" scale="65" verticalDpi="300"/>
  <drawing r:id="rId1"/>
</worksheet>
</file>

<file path=xl/worksheets/sheet3.xml><?xml version="1.0" encoding="utf-8"?>
<worksheet xmlns:r="http://schemas.openxmlformats.org/officeDocument/2006/relationships" xmlns="http://schemas.openxmlformats.org/spreadsheetml/2006/main">
  <sheetPr codeName="Sheet1">
    <outlinePr summaryBelow="1" summaryRight="1"/>
    <pageSetUpPr/>
  </sheetPr>
  <dimension ref="A1:O44"/>
  <sheetViews>
    <sheetView showGridLines="0" zoomScaleNormal="100" workbookViewId="0">
      <selection activeCell="B7" sqref="B7"/>
    </sheetView>
  </sheetViews>
  <sheetFormatPr baseColWidth="8" defaultColWidth="0" defaultRowHeight="15"/>
  <cols>
    <col width="24.7109375" customWidth="1" style="369" min="1" max="6"/>
    <col width="9.140625" customWidth="1" style="369" min="7" max="7"/>
    <col hidden="1" width="9.140625" customWidth="1" style="369" min="8" max="15"/>
    <col hidden="1" width="13.140625" customWidth="1" style="369" min="16" max="16"/>
    <col hidden="1" width="7.140625" customWidth="1" style="369" min="17" max="17"/>
    <col hidden="1" width="9.140625" customWidth="1" style="369" min="18" max="16384"/>
  </cols>
  <sheetData>
    <row r="1" ht="17.45" customHeight="1" s="369">
      <c r="A1" s="66" t="n"/>
      <c r="B1" s="320" t="n"/>
      <c r="C1" s="66" t="n"/>
      <c r="D1" s="66" t="n"/>
      <c r="E1" s="320" t="n"/>
      <c r="F1" s="320" t="n"/>
    </row>
    <row r="2" ht="18" customHeight="1" s="369">
      <c r="A2" s="68" t="n"/>
      <c r="B2" s="66" t="n"/>
      <c r="C2" s="320" t="n"/>
      <c r="D2" s="320" t="n"/>
      <c r="E2" s="320" t="n"/>
      <c r="F2" s="320" t="n"/>
    </row>
    <row r="3" ht="18.6" customHeight="1" s="369">
      <c r="A3" s="68" t="n"/>
      <c r="B3" s="66" t="n"/>
      <c r="C3" s="315" t="inlineStr">
        <is>
          <t>Portable Vibration Calibrator</t>
        </is>
      </c>
      <c r="D3" s="69" t="n"/>
      <c r="E3" s="320" t="n"/>
      <c r="F3" s="320" t="n"/>
      <c r="O3" s="166" t="n"/>
    </row>
    <row r="4" ht="18" customHeight="1" s="369">
      <c r="A4" s="322" t="n"/>
      <c r="B4" s="71" t="n"/>
      <c r="C4" s="72" t="inlineStr">
        <is>
          <t>Calibration Route Generation Spreadsheet</t>
        </is>
      </c>
      <c r="D4" s="320" t="n"/>
      <c r="E4" s="320" t="n"/>
      <c r="F4" s="320" t="n"/>
    </row>
    <row r="5" ht="18" customHeight="1" s="369">
      <c r="A5" s="322" t="n"/>
      <c r="B5" s="71" t="n"/>
      <c r="C5" s="168">
        <f>'Linfit Worksheet'!L29</f>
        <v/>
      </c>
      <c r="D5" s="320" t="n"/>
      <c r="E5" s="320" t="n"/>
      <c r="F5" s="320" t="n"/>
    </row>
    <row r="6" ht="6.75" customHeight="1" s="369">
      <c r="A6" s="322" t="n"/>
      <c r="B6" s="71" t="n"/>
      <c r="C6" s="168" t="n"/>
      <c r="D6" s="320" t="n"/>
      <c r="E6" s="320" t="n"/>
      <c r="F6" s="320" t="n"/>
    </row>
    <row r="7" ht="18" customHeight="1" s="369">
      <c r="A7" s="322" t="n"/>
      <c r="B7" s="71" t="n"/>
      <c r="C7" s="161" t="inlineStr">
        <is>
          <t>PVC Version</t>
        </is>
      </c>
      <c r="D7" s="167" t="n"/>
      <c r="E7" s="320" t="n"/>
      <c r="F7" s="320" t="n"/>
    </row>
    <row r="8" ht="18" customHeight="1" s="369">
      <c r="A8" s="158" t="inlineStr">
        <is>
          <t>Route Name</t>
        </is>
      </c>
      <c r="B8" s="159" t="n"/>
      <c r="C8" s="161" t="inlineStr">
        <is>
          <t>Route Type</t>
        </is>
      </c>
      <c r="D8" s="167" t="n"/>
      <c r="E8" s="161" t="inlineStr">
        <is>
          <t>Sensor Type</t>
        </is>
      </c>
      <c r="F8" s="159" t="n"/>
    </row>
    <row r="9" ht="18" customHeight="1" s="369">
      <c r="A9" s="158" t="inlineStr">
        <is>
          <t>Frequency Unit</t>
        </is>
      </c>
      <c r="B9" s="159" t="n"/>
      <c r="C9" s="161" t="inlineStr">
        <is>
          <t>Lower Bound</t>
        </is>
      </c>
      <c r="D9" s="167" t="n"/>
      <c r="E9" s="161" t="inlineStr">
        <is>
          <t>Sensor MN</t>
        </is>
      </c>
      <c r="F9" s="159" t="n"/>
    </row>
    <row r="10" ht="18" customHeight="1" s="369">
      <c r="A10" s="161" t="inlineStr">
        <is>
          <t>Amplitude</t>
        </is>
      </c>
      <c r="B10" s="167" t="n"/>
      <c r="C10" s="161" t="inlineStr">
        <is>
          <t>Upper Bound</t>
        </is>
      </c>
      <c r="D10" s="167" t="n"/>
      <c r="E10" s="162" t="n"/>
      <c r="F10" s="162" t="n"/>
    </row>
    <row r="11" ht="18" customHeight="1" s="369">
      <c r="A11" s="160" t="inlineStr">
        <is>
          <t>Amplitude Unit</t>
        </is>
      </c>
      <c r="B11" s="159" t="n"/>
      <c r="C11" s="316" t="inlineStr">
        <is>
          <t>Nominal Sens.</t>
        </is>
      </c>
      <c r="D11" s="167" t="n"/>
      <c r="E11" s="317" t="n"/>
      <c r="F11" s="162" t="n"/>
    </row>
    <row r="12" ht="21" customHeight="1" s="369">
      <c r="A12" s="72" t="n"/>
      <c r="B12" s="66" t="n"/>
      <c r="C12" s="89" t="n"/>
      <c r="D12" s="507" t="n"/>
      <c r="E12" s="508" t="n"/>
      <c r="F12" s="320" t="n"/>
    </row>
    <row r="13" ht="15.6" customHeight="1" s="369">
      <c r="A13" s="509" t="inlineStr">
        <is>
          <t>Frequency</t>
        </is>
      </c>
      <c r="B13" s="509" t="inlineStr">
        <is>
          <t>Amplitude</t>
        </is>
      </c>
      <c r="C13" s="510" t="inlineStr">
        <is>
          <t>Amplitude Unit</t>
        </is>
      </c>
      <c r="D13" s="510" t="inlineStr">
        <is>
          <t>Lower Bound</t>
        </is>
      </c>
      <c r="E13" s="510" t="inlineStr">
        <is>
          <t>Upper Bound</t>
        </is>
      </c>
    </row>
    <row r="14" ht="15.6" customHeight="1" s="369">
      <c r="A14" s="502" t="n"/>
      <c r="B14" s="502" t="n"/>
      <c r="C14" s="502" t="n"/>
      <c r="D14" s="502" t="n"/>
      <c r="E14" s="502" t="n"/>
    </row>
    <row r="15" ht="15.75" customHeight="1" s="369">
      <c r="A15" s="163" t="n"/>
      <c r="B15" s="165" t="n"/>
      <c r="C15" s="164" t="n"/>
      <c r="D15" s="164" t="n"/>
      <c r="E15" s="164" t="n"/>
    </row>
    <row r="16" ht="15.75" customHeight="1" s="369">
      <c r="A16" s="163" t="n"/>
      <c r="B16" s="165" t="n"/>
      <c r="C16" s="164" t="n"/>
      <c r="D16" s="164" t="n"/>
      <c r="E16" s="164" t="n"/>
    </row>
    <row r="17" ht="15.75" customHeight="1" s="369">
      <c r="A17" s="163" t="n"/>
      <c r="B17" s="165" t="n"/>
      <c r="C17" s="164" t="n"/>
      <c r="D17" s="164" t="n"/>
      <c r="E17" s="164" t="n"/>
    </row>
    <row r="18" ht="15.75" customHeight="1" s="369">
      <c r="A18" s="163" t="n"/>
      <c r="B18" s="165" t="n"/>
      <c r="C18" s="164" t="n"/>
      <c r="D18" s="164" t="n"/>
      <c r="E18" s="164" t="n"/>
    </row>
    <row r="19" ht="15.75" customHeight="1" s="369">
      <c r="A19" s="163" t="n"/>
      <c r="B19" s="165" t="n"/>
      <c r="C19" s="164" t="n"/>
      <c r="D19" s="164" t="n"/>
      <c r="E19" s="164" t="n"/>
    </row>
    <row r="20" ht="15.75" customHeight="1" s="369">
      <c r="A20" s="163" t="n"/>
      <c r="B20" s="165" t="n"/>
      <c r="C20" s="164" t="n"/>
      <c r="D20" s="164" t="n"/>
      <c r="E20" s="164" t="n"/>
    </row>
    <row r="21" ht="15.75" customHeight="1" s="369">
      <c r="A21" s="163" t="n"/>
      <c r="B21" s="165" t="n"/>
      <c r="C21" s="164" t="n"/>
      <c r="D21" s="164" t="n"/>
      <c r="E21" s="164" t="n"/>
    </row>
    <row r="22" ht="15.75" customHeight="1" s="369">
      <c r="A22" s="163" t="n"/>
      <c r="B22" s="165" t="n"/>
      <c r="C22" s="164" t="n"/>
      <c r="D22" s="164" t="n"/>
      <c r="E22" s="164" t="n"/>
    </row>
    <row r="23" ht="15.75" customHeight="1" s="369">
      <c r="A23" s="163" t="n"/>
      <c r="B23" s="165" t="n"/>
      <c r="C23" s="164" t="n"/>
      <c r="D23" s="164" t="n"/>
      <c r="E23" s="164" t="n"/>
    </row>
    <row r="24" ht="15.75" customHeight="1" s="369">
      <c r="A24" s="163" t="n"/>
      <c r="B24" s="165" t="n"/>
      <c r="C24" s="164" t="n"/>
      <c r="D24" s="164" t="n"/>
      <c r="E24" s="164" t="n"/>
    </row>
    <row r="25" ht="15.75" customHeight="1" s="369">
      <c r="A25" s="163" t="n"/>
      <c r="B25" s="165" t="n"/>
      <c r="C25" s="164" t="n"/>
      <c r="D25" s="164" t="n"/>
      <c r="E25" s="164" t="n"/>
    </row>
    <row r="26" ht="15.75" customHeight="1" s="369">
      <c r="A26" s="163" t="n"/>
      <c r="B26" s="165" t="n"/>
      <c r="C26" s="164" t="n"/>
      <c r="D26" s="164" t="n"/>
      <c r="E26" s="164" t="n"/>
    </row>
    <row r="27" ht="15.75" customHeight="1" s="369">
      <c r="A27" s="163" t="n"/>
      <c r="B27" s="165" t="n"/>
      <c r="C27" s="164" t="n"/>
      <c r="D27" s="164" t="n"/>
      <c r="E27" s="164" t="n"/>
    </row>
    <row r="28" ht="15.75" customHeight="1" s="369">
      <c r="A28" s="163" t="n"/>
      <c r="B28" s="165" t="n"/>
      <c r="C28" s="164" t="n"/>
      <c r="D28" s="164" t="n"/>
      <c r="E28" s="164" t="n"/>
    </row>
    <row r="29" ht="15.75" customHeight="1" s="369">
      <c r="A29" s="163" t="n"/>
      <c r="B29" s="165" t="n"/>
      <c r="C29" s="164" t="n"/>
      <c r="D29" s="164" t="n"/>
      <c r="E29" s="164" t="n"/>
    </row>
    <row r="30" ht="15.75" customHeight="1" s="369">
      <c r="A30" s="163" t="n"/>
      <c r="B30" s="165" t="n"/>
      <c r="C30" s="164" t="n"/>
      <c r="D30" s="164" t="n"/>
      <c r="E30" s="164" t="n"/>
    </row>
    <row r="31" ht="15.75" customHeight="1" s="369">
      <c r="A31" s="163" t="n"/>
      <c r="B31" s="165" t="n"/>
      <c r="C31" s="164" t="n"/>
      <c r="D31" s="164" t="n"/>
      <c r="E31" s="164" t="n"/>
    </row>
    <row r="32" ht="15.75" customHeight="1" s="369">
      <c r="A32" s="163" t="n"/>
      <c r="B32" s="165" t="n"/>
      <c r="C32" s="164" t="n"/>
      <c r="D32" s="164" t="n"/>
      <c r="E32" s="164" t="n"/>
    </row>
    <row r="33" ht="15.75" customHeight="1" s="369">
      <c r="A33" s="163" t="n"/>
      <c r="B33" s="165" t="n"/>
      <c r="C33" s="164" t="n"/>
      <c r="D33" s="164" t="n"/>
      <c r="E33" s="164" t="n"/>
    </row>
    <row r="34" ht="15.75" customHeight="1" s="369">
      <c r="A34" s="163" t="n"/>
      <c r="B34" s="165" t="n"/>
      <c r="C34" s="164" t="n"/>
      <c r="D34" s="164" t="n"/>
      <c r="E34" s="164" t="n"/>
    </row>
    <row r="35" ht="15.75" customHeight="1" s="369">
      <c r="A35" s="163" t="n"/>
      <c r="B35" s="165" t="n"/>
      <c r="C35" s="164" t="n"/>
      <c r="D35" s="164" t="n"/>
      <c r="E35" s="164" t="n"/>
    </row>
    <row r="36" ht="15.75" customHeight="1" s="369">
      <c r="A36" s="163" t="n"/>
      <c r="B36" s="165" t="n"/>
      <c r="C36" s="164" t="n"/>
      <c r="D36" s="164" t="n"/>
      <c r="E36" s="164" t="n"/>
    </row>
    <row r="37" ht="15.75" customHeight="1" s="369">
      <c r="A37" s="163" t="n"/>
      <c r="B37" s="165" t="n"/>
      <c r="C37" s="164" t="n"/>
      <c r="D37" s="164" t="n"/>
      <c r="E37" s="164" t="n"/>
    </row>
    <row r="38" ht="15.75" customHeight="1" s="369">
      <c r="A38" s="163" t="n"/>
      <c r="B38" s="165" t="n"/>
      <c r="C38" s="164" t="n"/>
      <c r="D38" s="164" t="n"/>
      <c r="E38" s="164" t="n"/>
    </row>
    <row r="39" ht="15.75" customHeight="1" s="369">
      <c r="A39" s="163" t="n"/>
      <c r="B39" s="165" t="n"/>
      <c r="C39" s="164" t="n"/>
      <c r="D39" s="164" t="n"/>
      <c r="E39" s="164" t="n"/>
    </row>
    <row r="40" ht="15.75" customHeight="1" s="369">
      <c r="A40" s="163" t="n"/>
      <c r="B40" s="165" t="n"/>
      <c r="C40" s="164" t="n"/>
      <c r="D40" s="164" t="n"/>
      <c r="E40" s="164" t="n"/>
    </row>
    <row r="41" ht="15.75" customHeight="1" s="369">
      <c r="A41" s="163" t="n"/>
      <c r="B41" s="165" t="n"/>
      <c r="C41" s="164" t="n"/>
      <c r="D41" s="164" t="n"/>
      <c r="E41" s="164" t="n"/>
    </row>
    <row r="42" ht="15.75" customHeight="1" s="369">
      <c r="A42" s="163" t="n"/>
      <c r="B42" s="165" t="n"/>
      <c r="C42" s="164" t="n"/>
      <c r="D42" s="164" t="n"/>
      <c r="E42" s="164" t="n"/>
    </row>
    <row r="43" ht="15.75" customHeight="1" s="369">
      <c r="A43" s="163" t="n"/>
      <c r="B43" s="165" t="n"/>
      <c r="C43" s="164" t="n"/>
      <c r="D43" s="164" t="n"/>
      <c r="E43" s="164" t="n"/>
    </row>
    <row r="44" ht="15.75" customHeight="1" s="369">
      <c r="A44" s="163" t="n"/>
      <c r="B44" s="165" t="n"/>
      <c r="C44" s="164" t="n"/>
      <c r="D44" s="164" t="n"/>
      <c r="E44" s="164" t="n"/>
    </row>
  </sheetData>
  <sheetProtection selectLockedCells="1" selectUnlockedCells="0" algorithmName="SHA-512" sheet="1" objects="0" insertRows="1" insertHyperlinks="1" autoFilter="1" scenarios="0" formatColumns="1" deleteColumns="1" insertColumns="1" pivotTables="1" deleteRows="1" formatCells="0" saltValue="HRi8DeKYjMNmWaCzAlSeHQ==" formatRows="1" sort="1" spinCount="100000" hashValue="w9CI/c+79pJIuXIAHf+fO9YvZYsnsoEz6AcIx3F5Q+UbphpoYd3WQJXlfhmLgyUk5tQp+4Na1KFcklYWf98eoQ=="/>
  <mergeCells count="6">
    <mergeCell ref="A13:A14"/>
    <mergeCell ref="B13:B14"/>
    <mergeCell ref="E13:E14"/>
    <mergeCell ref="D13:D14"/>
    <mergeCell ref="D12:E12"/>
    <mergeCell ref="C13:C14"/>
  </mergeCells>
  <conditionalFormatting sqref="B15:B44">
    <cfRule type="expression" priority="12" dxfId="6">
      <formula>EXACT(OFFSET(INDIRECT(ADDRESS(ROW(), COLUMN())),0,1), "um p-p")</formula>
    </cfRule>
    <cfRule type="expression" priority="13" dxfId="7">
      <formula>EXACT(OFFSET(INDIRECT(ADDRESS(ROW(), COLUMN())),0,1), "m/s2 RMS")</formula>
    </cfRule>
    <cfRule type="expression" priority="14" dxfId="7">
      <formula>EXACT(OFFSET(INDIRECT(ADDRESS(ROW(), COLUMN())),0,1), "m/s2 pk")</formula>
    </cfRule>
    <cfRule type="expression" priority="15" dxfId="7">
      <formula>EXACT(OFFSET(INDIRECT(ADDRESS(ROW(), COLUMN())),0,1), "mil p-p")</formula>
    </cfRule>
  </conditionalFormatting>
  <conditionalFormatting sqref="B10">
    <cfRule type="expression" priority="16" dxfId="7">
      <formula>EXACT($B$11, "m/s2 RMS")</formula>
    </cfRule>
    <cfRule type="expression" priority="17" dxfId="7">
      <formula>EXACT($B$11, "m/s2 pk")</formula>
    </cfRule>
    <cfRule type="expression" priority="18" dxfId="7">
      <formula>EXACT($B$11,"mil p-p")</formula>
    </cfRule>
    <cfRule type="expression" priority="19" dxfId="6">
      <formula>EXACT($B$11, "um p-p")</formula>
    </cfRule>
  </conditionalFormatting>
  <conditionalFormatting sqref="A15:E15 D16:D44">
    <cfRule type="expression" priority="6" dxfId="5">
      <formula>$D$8="Percentage"</formula>
    </cfRule>
  </conditionalFormatting>
  <conditionalFormatting sqref="D8">
    <cfRule type="expression" priority="2" dxfId="4">
      <formula>AND($D$8="Percentage",LEFT($D$7,1)="5")</formula>
    </cfRule>
  </conditionalFormatting>
  <dataValidations count="13">
    <dataValidation sqref="A16:A44" showDropDown="0" showInputMessage="0" showErrorMessage="1" allowBlank="1" type="decimal">
      <formula1>0.7</formula1>
      <formula2>600000</formula2>
    </dataValidation>
    <dataValidation sqref="B15:B44" showDropDown="0" showInputMessage="1" showErrorMessage="1" allowBlank="1" type="decimal">
      <formula1>0</formula1>
      <formula2>10000</formula2>
    </dataValidation>
    <dataValidation sqref="B10 D11" showDropDown="0" showInputMessage="1" showErrorMessage="1" allowBlank="0" type="decimal">
      <formula1>0</formula1>
      <formula2>10000</formula2>
    </dataValidation>
    <dataValidation sqref="F9" showDropDown="0" showInputMessage="1" showErrorMessage="1" allowBlank="1" prompt="10 Characters Max" type="textLength">
      <formula1>0</formula1>
      <formula2>10</formula2>
    </dataValidation>
    <dataValidation sqref="E15:E44" showDropDown="0" showInputMessage="1" showErrorMessage="1" allowBlank="1" type="decimal">
      <formula1>0.000001</formula1>
      <formula2>20000</formula2>
    </dataValidation>
    <dataValidation sqref="B8" showDropDown="0" showInputMessage="1" showErrorMessage="1" allowBlank="1" error="10 Characters Max" prompt="10 Characters Max" type="textLength" operator="lessThanOrEqual">
      <formula1>10</formula1>
    </dataValidation>
    <dataValidation sqref="C9:C10" showDropDown="0" showInputMessage="1" showErrorMessage="1" allowBlank="1" prompt="Sensitivity Boundary"/>
    <dataValidation sqref="I4:R4" showDropDown="0" showInputMessage="1" showErrorMessage="1" allowBlank="0" type="list">
      <formula1>$D$2:$D$14</formula1>
    </dataValidation>
    <dataValidation sqref="B11" showDropDown="0" showInputMessage="1" showErrorMessage="1" allowBlank="0" type="list">
      <formula1>VibeUnits</formula1>
    </dataValidation>
    <dataValidation sqref="D9:D10" showDropDown="0" showInputMessage="1" showErrorMessage="1" allowBlank="0" type="custom">
      <formula1>AND(D9&gt;=IF($D$8="Percentage",-1000,0),D9&lt;1000)</formula1>
    </dataValidation>
    <dataValidation sqref="A15" showDropDown="0" showInputMessage="0" showErrorMessage="1" allowBlank="1" prompt="In ISO route type, this is the reference frequency. All other bounds will be based on the sensitivity derived here." type="decimal">
      <formula1>0.7</formula1>
      <formula2>600000</formula2>
    </dataValidation>
    <dataValidation sqref="D15:D44" showDropDown="0" showInputMessage="1" showErrorMessage="1" allowBlank="1" type="custom">
      <formula1>AND(D15&gt;=IF($D$8="Percentage",-1000,0),D15&lt;1000)</formula1>
    </dataValidation>
    <dataValidation sqref="D7" showDropDown="0" showInputMessage="0" showErrorMessage="1" allowBlank="1" prompt="When Hard Limit, Lower and Upper Bounds are absolute sensitivity limits._x000a__x000a_When Percentage, Lower and Upper Bounds are percentage from the reference sensitivity. The first point is the reference frequency, whose bounds are from the nominal sensitivity." type="list">
      <formula1>PVCFWVers</formula1>
    </dataValidation>
  </dataValidations>
  <pageMargins left="0.7" right="0.7" top="0.75" bottom="0.75" header="0.3" footer="0.3"/>
  <pageSetup orientation="portrait"/>
  <drawing r:id="rId1"/>
  <legacyDrawing r:id="anysvml"/>
</worksheet>
</file>

<file path=xl/worksheets/sheet4.xml><?xml version="1.0" encoding="utf-8"?>
<worksheet xmlns="http://schemas.openxmlformats.org/spreadsheetml/2006/main">
  <sheetPr codeName="Sheet14">
    <outlinePr summaryBelow="1" summaryRight="1"/>
    <pageSetUpPr/>
  </sheetPr>
  <dimension ref="A1:AP52"/>
  <sheetViews>
    <sheetView showGridLines="0" zoomScaleNormal="100" workbookViewId="0">
      <selection activeCell="C5" sqref="C5"/>
    </sheetView>
  </sheetViews>
  <sheetFormatPr baseColWidth="8" defaultColWidth="0" defaultRowHeight="15" zeroHeight="1"/>
  <cols>
    <col width="3.7109375" customWidth="1" style="369" min="1" max="1"/>
    <col width="12.7109375" customWidth="1" style="369" min="2" max="2"/>
    <col width="14.7109375" customWidth="1" style="369" min="3" max="3"/>
    <col width="6.7109375" customWidth="1" style="369" min="4" max="5"/>
    <col width="12.7109375" customWidth="1" style="369" min="6" max="8"/>
    <col width="9.7109375" customWidth="1" style="369" min="9" max="9"/>
    <col width="13.7109375" customWidth="1" style="369" min="10" max="11"/>
    <col width="4.7109375" customWidth="1" style="369" min="12" max="14"/>
    <col hidden="1" width="6.140625" customWidth="1" style="369" min="15" max="15"/>
    <col hidden="1" width="6.85546875" customWidth="1" style="369" min="16" max="16"/>
    <col hidden="1" width="8.7109375" customWidth="1" style="369" min="17" max="17"/>
    <col hidden="1" width="4.7109375" customWidth="1" style="369" min="18" max="51"/>
    <col hidden="1" width="9.140625" customWidth="1" style="369" min="52" max="16384"/>
  </cols>
  <sheetData>
    <row r="1" ht="9.949999999999999" customHeight="1" s="369">
      <c r="A1" s="205" t="n"/>
      <c r="B1" s="205" t="n"/>
      <c r="C1" s="205" t="n"/>
      <c r="D1" s="205" t="n"/>
      <c r="E1" s="205" t="n"/>
      <c r="F1" s="205" t="n"/>
      <c r="G1" s="205" t="n"/>
      <c r="H1" s="205" t="n"/>
      <c r="I1" s="205" t="n"/>
      <c r="J1" s="205" t="n"/>
      <c r="K1" s="205" t="n"/>
    </row>
    <row r="2" ht="22.5" customHeight="1" s="369">
      <c r="A2" s="337" t="inlineStr">
        <is>
          <t>~ Vibration Analyzer Certification ~</t>
        </is>
      </c>
    </row>
    <row r="3" ht="9.75" customHeight="1" s="369">
      <c r="A3" s="205" t="n"/>
      <c r="B3" s="204" t="n"/>
      <c r="C3" s="204" t="n"/>
      <c r="D3" s="204" t="n"/>
      <c r="E3" s="204" t="n"/>
      <c r="F3" s="204" t="n"/>
      <c r="G3" s="204" t="n"/>
      <c r="H3" s="204" t="n"/>
      <c r="I3" s="204" t="n"/>
      <c r="J3" s="204" t="n"/>
      <c r="K3" s="204" t="n"/>
    </row>
    <row r="4">
      <c r="A4" s="205" t="n"/>
      <c r="B4" s="212" t="inlineStr">
        <is>
          <t>Analyzer/Meter Information *</t>
        </is>
      </c>
      <c r="D4" s="205" t="n"/>
      <c r="E4" s="212" t="inlineStr">
        <is>
          <t>Analyzer Settings *</t>
        </is>
      </c>
      <c r="F4" s="212" t="n"/>
      <c r="G4" s="219" t="n"/>
      <c r="H4" s="196" t="n"/>
      <c r="K4" s="205" t="n"/>
      <c r="N4" s="215" t="n"/>
      <c r="O4" s="215" t="n"/>
      <c r="P4" s="215" t="n"/>
      <c r="Q4" s="215" t="n"/>
      <c r="R4" s="215" t="n"/>
      <c r="S4" s="215" t="n"/>
      <c r="T4" s="215" t="n"/>
      <c r="U4" s="215" t="n"/>
      <c r="V4" s="215" t="n"/>
      <c r="W4" s="215" t="n"/>
      <c r="X4" s="215" t="n"/>
      <c r="Y4" s="215" t="n"/>
      <c r="Z4" s="215" t="n"/>
      <c r="AA4" s="215" t="n"/>
      <c r="AB4" s="215" t="n"/>
      <c r="AC4" s="215" t="n"/>
      <c r="AD4" s="215" t="n"/>
      <c r="AE4" s="215" t="n"/>
      <c r="AF4" s="215" t="n"/>
      <c r="AG4" s="207" t="n"/>
      <c r="AI4" s="215" t="n"/>
      <c r="AJ4" s="215" t="n"/>
      <c r="AK4" s="215" t="n"/>
      <c r="AL4" s="215" t="n"/>
      <c r="AM4" s="215" t="n"/>
      <c r="AN4" s="215" t="n"/>
      <c r="AO4" s="215" t="n"/>
      <c r="AP4" s="215" t="n"/>
    </row>
    <row r="5">
      <c r="A5" s="205" t="n"/>
      <c r="B5" s="338" t="inlineStr">
        <is>
          <t xml:space="preserve">Manufacturer: </t>
        </is>
      </c>
      <c r="C5" s="273" t="inlineStr">
        <is>
          <t>Emerson CSI</t>
        </is>
      </c>
      <c r="D5" s="205" t="n"/>
      <c r="E5" s="338" t="inlineStr">
        <is>
          <t xml:space="preserve">Analyzer mode: </t>
        </is>
      </c>
      <c r="F5" s="495" t="n"/>
      <c r="G5" s="495" t="n"/>
      <c r="H5" s="269" t="n">
        <v>1</v>
      </c>
      <c r="K5" s="206" t="n"/>
      <c r="N5" s="205" t="n"/>
      <c r="O5" s="205" t="n"/>
      <c r="P5" s="205" t="n"/>
      <c r="Q5" s="205" t="n"/>
      <c r="S5" s="216" t="n"/>
      <c r="T5" s="216" t="n"/>
      <c r="U5" s="216" t="n"/>
      <c r="V5" s="216" t="n"/>
      <c r="W5" s="216" t="n"/>
      <c r="X5" s="216" t="n"/>
      <c r="Y5" s="216" t="n"/>
      <c r="Z5" s="216" t="n"/>
      <c r="AA5" s="216" t="n"/>
      <c r="AB5" s="216" t="n"/>
      <c r="AC5" s="216" t="n"/>
      <c r="AD5" s="216" t="n"/>
      <c r="AE5" s="216" t="n"/>
      <c r="AF5" s="216" t="n"/>
      <c r="AG5" s="478" t="n"/>
      <c r="AI5" s="205" t="n"/>
      <c r="AJ5" s="205" t="n"/>
      <c r="AK5" s="205" t="n"/>
      <c r="AL5" s="205" t="n"/>
      <c r="AN5" s="216" t="n"/>
      <c r="AO5" s="216" t="n"/>
      <c r="AP5" s="216" t="n"/>
    </row>
    <row r="6">
      <c r="A6" s="205" t="n"/>
      <c r="B6" s="338" t="inlineStr">
        <is>
          <t xml:space="preserve">Model Number: </t>
        </is>
      </c>
      <c r="C6" s="273" t="inlineStr">
        <is>
          <t>2140</t>
        </is>
      </c>
      <c r="D6" s="205" t="n"/>
      <c r="E6" s="338" t="inlineStr">
        <is>
          <t xml:space="preserve">Frequency Max: </t>
        </is>
      </c>
      <c r="F6" s="495" t="n"/>
      <c r="G6" s="495" t="n"/>
      <c r="H6" s="235" t="n">
        <v>1000</v>
      </c>
      <c r="I6" s="358" t="n"/>
      <c r="K6" s="206" t="n"/>
      <c r="N6" s="205" t="n"/>
      <c r="O6" s="205" t="n"/>
      <c r="P6" s="205" t="n"/>
      <c r="Q6" s="205" t="n"/>
      <c r="S6" s="216" t="n"/>
      <c r="T6" s="216" t="n"/>
      <c r="U6" s="216" t="n"/>
      <c r="V6" s="216" t="n"/>
      <c r="W6" s="216" t="n"/>
      <c r="X6" s="216" t="n"/>
      <c r="Y6" s="216" t="n"/>
      <c r="Z6" s="216" t="n"/>
      <c r="AA6" s="216" t="n"/>
      <c r="AB6" s="216" t="n"/>
      <c r="AC6" s="216" t="n"/>
      <c r="AD6" s="216" t="n"/>
      <c r="AE6" s="216" t="n"/>
      <c r="AF6" s="216" t="n"/>
      <c r="AG6" s="478" t="n"/>
      <c r="AI6" s="205" t="n"/>
      <c r="AJ6" s="205" t="n"/>
      <c r="AK6" s="205" t="n"/>
      <c r="AL6" s="205" t="n"/>
      <c r="AN6" s="216" t="n"/>
      <c r="AO6" s="216" t="n"/>
      <c r="AP6" s="216" t="n"/>
    </row>
    <row r="7">
      <c r="A7" s="205" t="n"/>
      <c r="B7" s="338" t="inlineStr">
        <is>
          <t xml:space="preserve">Serial Number: </t>
        </is>
      </c>
      <c r="C7" s="235" t="inlineStr">
        <is>
          <t>B21401237749</t>
        </is>
      </c>
      <c r="D7" s="205" t="n"/>
      <c r="E7" s="338" t="inlineStr">
        <is>
          <t xml:space="preserve">Frequncy Min: </t>
        </is>
      </c>
      <c r="F7" s="495" t="n"/>
      <c r="G7" s="495" t="n"/>
      <c r="H7" s="235" t="n">
        <v>10</v>
      </c>
      <c r="K7" s="206" t="n"/>
      <c r="N7" s="205" t="n"/>
      <c r="O7" s="205" t="n"/>
      <c r="P7" s="205" t="n"/>
      <c r="Q7" s="205" t="n"/>
      <c r="S7" s="216" t="n"/>
      <c r="T7" s="216" t="n"/>
      <c r="U7" s="216" t="n"/>
      <c r="V7" s="216" t="n"/>
      <c r="W7" s="216" t="n"/>
      <c r="X7" s="216" t="n"/>
      <c r="Y7" s="216" t="n"/>
      <c r="Z7" s="216" t="n"/>
      <c r="AA7" s="216" t="n"/>
      <c r="AB7" s="216" t="n"/>
      <c r="AC7" s="216" t="n"/>
      <c r="AD7" s="216" t="n"/>
      <c r="AE7" s="216" t="n"/>
      <c r="AF7" s="216" t="n"/>
      <c r="AG7" s="478" t="n"/>
      <c r="AI7" s="205" t="n"/>
      <c r="AJ7" s="205" t="n"/>
      <c r="AK7" s="205" t="n"/>
      <c r="AL7" s="205" t="n"/>
      <c r="AN7" s="216" t="n"/>
      <c r="AO7" s="216" t="n"/>
      <c r="AP7" s="216" t="n"/>
    </row>
    <row r="8">
      <c r="A8" s="205" t="n"/>
      <c r="B8" s="338" t="inlineStr">
        <is>
          <t xml:space="preserve">Cal. Tech: </t>
        </is>
      </c>
      <c r="C8" s="273" t="inlineStr">
        <is>
          <t>Andrew Robb</t>
        </is>
      </c>
      <c r="D8" s="205" t="n"/>
      <c r="E8" s="338" t="n"/>
      <c r="F8" s="338" t="n"/>
      <c r="G8" s="338" t="inlineStr">
        <is>
          <t xml:space="preserve">Frequency Unit: </t>
        </is>
      </c>
      <c r="H8" s="283" t="n">
        <v>1</v>
      </c>
      <c r="I8" s="358" t="n"/>
      <c r="K8" s="206" t="n"/>
      <c r="N8" s="205" t="n"/>
      <c r="O8" s="205" t="n"/>
      <c r="P8" s="205" t="n"/>
      <c r="Q8" s="205" t="n"/>
      <c r="S8" s="216" t="n"/>
      <c r="T8" s="216" t="n"/>
      <c r="U8" s="216" t="n"/>
      <c r="V8" s="216" t="n"/>
      <c r="W8" s="216" t="n"/>
      <c r="X8" s="216" t="n"/>
      <c r="Y8" s="216" t="n"/>
      <c r="Z8" s="216" t="n"/>
      <c r="AA8" s="216" t="n"/>
      <c r="AB8" s="216" t="n"/>
      <c r="AC8" s="216" t="n"/>
      <c r="AD8" s="216" t="n"/>
      <c r="AE8" s="216" t="n"/>
      <c r="AF8" s="216" t="n"/>
      <c r="AG8" s="478" t="n"/>
      <c r="AI8" s="205" t="n"/>
      <c r="AJ8" s="205" t="n"/>
      <c r="AK8" s="205" t="n"/>
      <c r="AL8" s="205" t="n"/>
      <c r="AN8" s="216" t="n"/>
      <c r="AO8" s="216" t="n"/>
      <c r="AP8" s="216" t="n"/>
    </row>
    <row r="9" ht="15" customHeight="1" s="369">
      <c r="A9" s="205" t="n"/>
      <c r="B9" s="338" t="inlineStr">
        <is>
          <t xml:space="preserve">Cal. date: </t>
        </is>
      </c>
      <c r="C9" s="236" t="inlineStr">
        <is>
          <t>31/03/2026</t>
        </is>
      </c>
      <c r="D9" s="205" t="n"/>
      <c r="E9" s="338" t="inlineStr">
        <is>
          <t xml:space="preserve">Lines of Resolution: </t>
        </is>
      </c>
      <c r="F9" s="495" t="n"/>
      <c r="G9" s="495" t="n"/>
      <c r="H9" s="235" t="n">
        <v>1600</v>
      </c>
      <c r="I9" s="358" t="n"/>
      <c r="K9" s="206" t="n"/>
      <c r="N9" s="205" t="n"/>
      <c r="O9" s="205" t="n"/>
      <c r="P9" s="205" t="n"/>
      <c r="Q9" s="205" t="n"/>
      <c r="S9" s="216" t="n"/>
      <c r="T9" s="216" t="n"/>
      <c r="U9" s="216" t="n"/>
      <c r="V9" s="216" t="n"/>
      <c r="W9" s="216" t="n"/>
      <c r="X9" s="216" t="n"/>
      <c r="Y9" s="216" t="n"/>
      <c r="Z9" s="216" t="n"/>
      <c r="AA9" s="216" t="n"/>
      <c r="AB9" s="216" t="n"/>
      <c r="AC9" s="216" t="n"/>
      <c r="AD9" s="216" t="n"/>
      <c r="AE9" s="216" t="n"/>
      <c r="AF9" s="216" t="n"/>
      <c r="AG9" s="478" t="n"/>
      <c r="AI9" s="205" t="n"/>
      <c r="AJ9" s="205" t="n"/>
      <c r="AK9" s="205" t="n"/>
      <c r="AL9" s="205" t="n"/>
      <c r="AN9" s="216" t="n"/>
      <c r="AO9" s="216" t="n"/>
      <c r="AP9" s="216" t="n"/>
    </row>
    <row r="10">
      <c r="A10" s="205" t="n"/>
      <c r="B10" s="338" t="inlineStr">
        <is>
          <t xml:space="preserve">Cal. due: </t>
        </is>
      </c>
      <c r="C10" s="236" t="inlineStr">
        <is>
          <t>30/03/2027</t>
        </is>
      </c>
      <c r="D10" s="205" t="n"/>
      <c r="E10" s="338" t="inlineStr">
        <is>
          <t xml:space="preserve">Averaging Points: </t>
        </is>
      </c>
      <c r="F10" s="495" t="n"/>
      <c r="G10" s="495" t="n"/>
      <c r="H10" s="235" t="n">
        <v>4</v>
      </c>
      <c r="I10" s="358" t="n"/>
      <c r="K10" s="206" t="n"/>
      <c r="N10" s="205" t="n"/>
      <c r="O10" s="205" t="n"/>
      <c r="P10" s="205" t="n"/>
      <c r="Q10" s="205" t="n"/>
      <c r="S10" s="217" t="n"/>
      <c r="T10" s="217" t="n"/>
      <c r="U10" s="217" t="n"/>
      <c r="V10" s="217" t="n"/>
      <c r="W10" s="217" t="n"/>
      <c r="X10" s="217" t="n"/>
      <c r="Y10" s="217" t="n"/>
      <c r="Z10" s="217" t="n"/>
      <c r="AA10" s="217" t="n"/>
      <c r="AB10" s="217" t="n"/>
      <c r="AC10" s="217" t="n"/>
      <c r="AD10" s="217" t="n"/>
      <c r="AE10" s="217" t="n"/>
      <c r="AF10" s="217" t="n"/>
      <c r="AG10" s="209" t="n"/>
      <c r="AI10" s="205" t="n"/>
      <c r="AJ10" s="205" t="n"/>
      <c r="AK10" s="205" t="n"/>
      <c r="AL10" s="205" t="n"/>
      <c r="AN10" s="216" t="n"/>
      <c r="AO10" s="216" t="n"/>
      <c r="AP10" s="216" t="n"/>
    </row>
    <row r="11">
      <c r="A11" s="205" t="n"/>
      <c r="D11" s="205" t="n"/>
      <c r="E11" s="338" t="inlineStr">
        <is>
          <t xml:space="preserve">Window Type: </t>
        </is>
      </c>
      <c r="F11" s="495" t="n"/>
      <c r="G11" s="495" t="n"/>
      <c r="H11" s="213" t="n">
        <v>1</v>
      </c>
      <c r="I11" s="358" t="n"/>
      <c r="K11" s="206" t="n"/>
      <c r="N11" s="205" t="n"/>
      <c r="O11" s="205" t="n"/>
      <c r="P11" s="205" t="n"/>
      <c r="Q11" s="205" t="n"/>
      <c r="S11" s="217" t="n"/>
      <c r="T11" s="217" t="n"/>
      <c r="U11" s="217" t="n"/>
      <c r="V11" s="217" t="n"/>
      <c r="W11" s="217" t="n"/>
      <c r="X11" s="217" t="n"/>
      <c r="Y11" s="217" t="n"/>
      <c r="Z11" s="217" t="n"/>
      <c r="AA11" s="217" t="n"/>
      <c r="AB11" s="217" t="n"/>
      <c r="AC11" s="217" t="n"/>
      <c r="AD11" s="217" t="n"/>
      <c r="AE11" s="217" t="n"/>
      <c r="AF11" s="217" t="n"/>
      <c r="AG11" s="209" t="n"/>
      <c r="AI11" s="205" t="n"/>
      <c r="AJ11" s="205" t="n"/>
      <c r="AK11" s="205" t="n"/>
      <c r="AL11" s="205" t="n"/>
      <c r="AN11" s="216" t="n"/>
      <c r="AO11" s="216" t="n"/>
      <c r="AP11" s="216" t="n"/>
    </row>
    <row r="12">
      <c r="A12" s="205" t="n"/>
      <c r="B12" s="464" t="n"/>
      <c r="C12" s="217" t="n"/>
      <c r="D12" s="205" t="n"/>
      <c r="E12" s="338" t="inlineStr">
        <is>
          <t xml:space="preserve">Analyzer Sensor Input Sensitivity: </t>
        </is>
      </c>
      <c r="F12" s="495" t="n"/>
      <c r="G12" s="495" t="n"/>
      <c r="H12" s="235" t="n">
        <v>0.1</v>
      </c>
      <c r="K12" s="206" t="n"/>
      <c r="N12" s="205" t="n"/>
      <c r="O12" s="205" t="n"/>
      <c r="P12" s="205" t="n"/>
      <c r="Q12" s="205" t="n"/>
      <c r="S12" s="217" t="n"/>
      <c r="T12" s="217" t="n"/>
      <c r="U12" s="217" t="n"/>
      <c r="V12" s="217" t="n"/>
      <c r="W12" s="217" t="n"/>
      <c r="X12" s="217" t="n"/>
      <c r="Y12" s="217" t="n"/>
      <c r="Z12" s="217" t="n"/>
      <c r="AA12" s="217" t="n"/>
      <c r="AB12" s="217" t="n"/>
      <c r="AC12" s="217" t="n"/>
      <c r="AD12" s="217" t="n"/>
      <c r="AE12" s="217" t="n"/>
      <c r="AF12" s="217" t="n"/>
      <c r="AG12" s="209" t="n"/>
      <c r="AI12" s="205" t="n"/>
      <c r="AJ12" s="205" t="n"/>
      <c r="AK12" s="205" t="n"/>
      <c r="AL12" s="205" t="n"/>
      <c r="AN12" s="216" t="n"/>
      <c r="AO12" s="216" t="n"/>
      <c r="AP12" s="216" t="n"/>
    </row>
    <row r="13" ht="15" customHeight="1" s="369">
      <c r="A13" s="205" t="n"/>
      <c r="B13" s="205" t="n"/>
      <c r="C13" s="205" t="n"/>
      <c r="D13" s="205" t="n"/>
      <c r="E13" s="281" t="n"/>
      <c r="F13" s="281" t="n"/>
      <c r="G13" s="338" t="inlineStr">
        <is>
          <t xml:space="preserve">Unit: </t>
        </is>
      </c>
      <c r="H13" s="284" t="n">
        <v>1</v>
      </c>
      <c r="I13" s="205" t="n"/>
      <c r="J13" s="205" t="n"/>
      <c r="K13" s="205" t="n"/>
    </row>
    <row r="14">
      <c r="A14" s="205" t="n"/>
      <c r="B14" s="215" t="inlineStr">
        <is>
          <t>Test Equipment *</t>
        </is>
      </c>
      <c r="C14" s="215" t="n"/>
      <c r="D14" s="215" t="n"/>
      <c r="E14" s="215" t="n"/>
      <c r="F14" s="215" t="n"/>
      <c r="G14" s="215" t="n"/>
      <c r="H14" s="215" t="n"/>
      <c r="I14" s="215" t="n"/>
      <c r="J14" s="215" t="n"/>
      <c r="K14" s="215" t="n"/>
    </row>
    <row r="15" ht="33.75" customFormat="1" customHeight="1" s="224">
      <c r="A15" s="223" t="n"/>
      <c r="B15" s="339" t="inlineStr">
        <is>
          <t>Description</t>
        </is>
      </c>
      <c r="C15" s="339" t="inlineStr">
        <is>
          <t>Model Number</t>
        </is>
      </c>
      <c r="D15" s="339" t="inlineStr">
        <is>
          <t>Serial Number</t>
        </is>
      </c>
      <c r="E15" s="496" t="n"/>
      <c r="F15" s="339" t="inlineStr">
        <is>
          <t>Cal date</t>
        </is>
      </c>
      <c r="G15" s="339" t="inlineStr">
        <is>
          <t>Cal. Sensitivity @ 100Hz</t>
        </is>
      </c>
      <c r="H15" s="339" t="inlineStr">
        <is>
          <t>Unit</t>
        </is>
      </c>
      <c r="I15" s="339" t="inlineStr">
        <is>
          <t>Meas. Sensitivity @ 100Hz</t>
        </is>
      </c>
      <c r="J15" s="339" t="inlineStr">
        <is>
          <t>Unit</t>
        </is>
      </c>
      <c r="K15" s="339" t="inlineStr">
        <is>
          <t>% Tolerance</t>
        </is>
      </c>
      <c r="L15" s="339" t="inlineStr">
        <is>
          <t>% Deviation</t>
        </is>
      </c>
      <c r="M15" s="496" t="n"/>
    </row>
    <row r="16">
      <c r="A16" s="205" t="n"/>
      <c r="B16" s="228" t="inlineStr">
        <is>
          <t>PVC</t>
        </is>
      </c>
      <c r="C16" s="341" t="inlineStr">
        <is>
          <t>9110D</t>
        </is>
      </c>
      <c r="D16" s="341" t="inlineStr">
        <is>
          <t>11755</t>
        </is>
      </c>
      <c r="E16" s="511" t="n"/>
      <c r="F16" s="226" t="n">
        <v>45973</v>
      </c>
      <c r="G16" s="233" t="n">
        <v>1.06</v>
      </c>
      <c r="H16" s="237" t="inlineStr">
        <is>
          <t>mV/g</t>
        </is>
      </c>
      <c r="I16" s="233" t="n">
        <v>1.05</v>
      </c>
      <c r="J16" s="237" t="inlineStr">
        <is>
          <t>mV/g</t>
        </is>
      </c>
      <c r="K16" s="286" t="n">
        <v>0.03</v>
      </c>
      <c r="L16" s="340">
        <f>IF(OR(G16="",I16=""),"",I16/G16-1)</f>
        <v/>
      </c>
      <c r="M16" s="496" t="n"/>
      <c r="O16" s="234" t="n"/>
      <c r="P16" s="234" t="n"/>
    </row>
    <row r="17">
      <c r="A17" s="205" t="n"/>
      <c r="B17" s="228" t="inlineStr">
        <is>
          <t>Sensor</t>
        </is>
      </c>
      <c r="C17" s="341" t="inlineStr">
        <is>
          <t>A0760GP</t>
        </is>
      </c>
      <c r="D17" s="341" t="inlineStr">
        <is>
          <t>P9713</t>
        </is>
      </c>
      <c r="E17" s="511" t="n"/>
      <c r="F17" s="226" t="n">
        <v>46108</v>
      </c>
      <c r="G17" s="233" t="n">
        <v>1</v>
      </c>
      <c r="H17" s="225" t="inlineStr">
        <is>
          <t>mV/g</t>
        </is>
      </c>
      <c r="I17" s="233" t="n">
        <v>0.97</v>
      </c>
      <c r="J17" s="225" t="inlineStr">
        <is>
          <t>mV/g</t>
        </is>
      </c>
      <c r="K17" s="287" t="n">
        <v>0.05</v>
      </c>
      <c r="L17" s="340">
        <f>IF(OR(G17="",I17=""),"",I17/G17-1)</f>
        <v/>
      </c>
      <c r="M17" s="496" t="n"/>
      <c r="O17" s="234" t="n"/>
      <c r="P17" s="234" t="n"/>
    </row>
    <row r="18">
      <c r="A18" s="205" t="n"/>
      <c r="B18" s="228" t="inlineStr">
        <is>
          <t>DMM</t>
        </is>
      </c>
      <c r="C18" s="341" t="n"/>
      <c r="D18" s="341" t="n"/>
      <c r="E18" s="511" t="n"/>
      <c r="F18" s="226" t="n"/>
      <c r="G18" s="229" t="n"/>
      <c r="H18" s="230" t="n"/>
      <c r="I18" s="230" t="n"/>
      <c r="J18" s="230" t="n"/>
      <c r="K18" s="230" t="n"/>
      <c r="L18" s="230" t="n"/>
      <c r="M18" s="231" t="n"/>
    </row>
    <row r="19" ht="15" customHeight="1" s="369" thickBot="1">
      <c r="A19" s="205" t="n"/>
      <c r="B19" s="207" t="n"/>
      <c r="C19" s="468" t="n"/>
      <c r="D19" s="468" t="n"/>
      <c r="E19" s="468" t="n"/>
      <c r="F19" s="468" t="n"/>
      <c r="G19" s="468" t="n"/>
      <c r="H19" s="468" t="n"/>
      <c r="I19" s="467" t="n"/>
      <c r="J19" s="467" t="n"/>
      <c r="K19" s="351" t="n"/>
      <c r="L19" s="351" t="n"/>
    </row>
    <row r="20" hidden="1" ht="15.95" customHeight="1" s="369">
      <c r="A20" s="205" t="n"/>
      <c r="D20" s="232" t="n"/>
      <c r="E20" s="259" t="n"/>
      <c r="F20" s="259" t="n"/>
      <c r="H20" s="232" t="n"/>
      <c r="I20" s="205" t="n"/>
      <c r="K20" s="258" t="n"/>
    </row>
    <row r="21" hidden="1" ht="15" customHeight="1" s="369">
      <c r="A21" s="205" t="n"/>
      <c r="G21" t="n">
        <v>0.75</v>
      </c>
    </row>
    <row r="22" hidden="1" ht="17.1" customHeight="1" s="369">
      <c r="A22" s="205" t="n"/>
      <c r="C22" t="n">
        <v>1</v>
      </c>
      <c r="D22" s="468" t="n"/>
      <c r="E22" s="468" t="n"/>
      <c r="G22" t="n">
        <v>1</v>
      </c>
      <c r="K22" s="205" t="n"/>
    </row>
    <row r="23" hidden="1" ht="17.1" customHeight="1" s="369">
      <c r="A23" s="205" t="n"/>
      <c r="B23" s="205" t="n"/>
      <c r="C23" s="278" t="n"/>
      <c r="D23" s="468" t="n"/>
      <c r="E23" s="468" t="n"/>
      <c r="F23" s="468" t="n"/>
      <c r="H23" s="205" t="n"/>
      <c r="I23" s="216" t="n"/>
      <c r="K23" s="205" t="n"/>
    </row>
    <row r="24" ht="15" customHeight="1" s="369">
      <c r="A24" s="345" t="inlineStr">
        <is>
          <t>No.</t>
        </is>
      </c>
      <c r="B24" s="347" t="inlineStr">
        <is>
          <t>Known Value</t>
        </is>
      </c>
      <c r="C24" s="512" t="n"/>
      <c r="D24" s="343" t="inlineStr">
        <is>
          <t>Measured Value</t>
        </is>
      </c>
      <c r="E24" s="513" t="n"/>
      <c r="F24" s="512" t="n"/>
      <c r="G24" s="343" t="inlineStr">
        <is>
          <t>% Deviation</t>
        </is>
      </c>
      <c r="H24" s="512" t="n"/>
      <c r="I24" s="205" t="n"/>
      <c r="J24" s="305" t="inlineStr">
        <is>
          <t>Test *</t>
        </is>
      </c>
      <c r="K24" s="306" t="n"/>
    </row>
    <row r="25" ht="15" customHeight="1" s="369">
      <c r="A25" s="514" t="n"/>
      <c r="B25" s="348" t="inlineStr">
        <is>
          <t>Amplitude</t>
        </is>
      </c>
      <c r="C25" s="348" t="inlineStr">
        <is>
          <t>Frequency</t>
        </is>
      </c>
      <c r="D25" s="348" t="inlineStr">
        <is>
          <t>Amplitude</t>
        </is>
      </c>
      <c r="E25" s="496" t="n"/>
      <c r="F25" s="348" t="inlineStr">
        <is>
          <t>Frequency</t>
        </is>
      </c>
      <c r="G25" s="348" t="inlineStr">
        <is>
          <t>Amplitude</t>
        </is>
      </c>
      <c r="H25" s="297" t="inlineStr">
        <is>
          <t>Frequency</t>
        </is>
      </c>
      <c r="I25" s="260" t="n"/>
      <c r="J25" s="307" t="inlineStr">
        <is>
          <t xml:space="preserve">Test Frequency: </t>
        </is>
      </c>
      <c r="K25" s="308" t="n">
        <v>50</v>
      </c>
    </row>
    <row r="26">
      <c r="A26" s="298" t="n">
        <v>1</v>
      </c>
      <c r="B26" s="515" t="n">
        <v>0.1</v>
      </c>
      <c r="C26" s="285" t="n">
        <v>50</v>
      </c>
      <c r="D26" s="515" t="n">
        <v>0.073</v>
      </c>
      <c r="E26" s="511" t="n"/>
      <c r="F26" s="285" t="n">
        <v>50</v>
      </c>
      <c r="G26" s="280">
        <f>IF(OR(B26="",D26=""),"",(D26/B26-1)*100)</f>
        <v/>
      </c>
      <c r="H26" s="299">
        <f>IF(OR(C26="",F26=""),"",(F26/C26-1)*100)</f>
        <v/>
      </c>
      <c r="J26" s="307" t="inlineStr">
        <is>
          <t xml:space="preserve">Freq Unit: </t>
        </is>
      </c>
      <c r="K26" s="309" t="n">
        <v>1</v>
      </c>
    </row>
    <row r="27">
      <c r="A27" s="298" t="n">
        <v>2</v>
      </c>
      <c r="B27" s="515" t="n">
        <v>0.2</v>
      </c>
      <c r="C27" s="285" t="n">
        <v>50</v>
      </c>
      <c r="D27" s="515" t="n">
        <v>0.147</v>
      </c>
      <c r="E27" s="511" t="n"/>
      <c r="F27" s="285" t="n">
        <v>50</v>
      </c>
      <c r="G27" s="280">
        <f>IF(OR(B27="",D27=""),"",(D27/B27-1)*100)</f>
        <v/>
      </c>
      <c r="H27" s="299">
        <f>IF(OR(C27="",F27=""),"",(F27/C27-1)*100)</f>
        <v/>
      </c>
      <c r="J27" s="310" t="n"/>
      <c r="K27" s="311" t="n"/>
    </row>
    <row r="28">
      <c r="A28" s="298" t="n">
        <v>3</v>
      </c>
      <c r="B28" s="515" t="n">
        <v>0.5</v>
      </c>
      <c r="C28" s="285" t="n">
        <v>50</v>
      </c>
      <c r="D28" s="515" t="n">
        <v>0.366</v>
      </c>
      <c r="E28" s="511" t="n"/>
      <c r="F28" s="285" t="n">
        <v>50</v>
      </c>
      <c r="G28" s="280">
        <f>IF(OR(B28="",D28=""),"",(D28/B28-1)*100)</f>
        <v/>
      </c>
      <c r="H28" s="299">
        <f>IF(OR(C28="",F28=""),"",(F28/C28-1)*100)</f>
        <v/>
      </c>
      <c r="J28" s="307" t="inlineStr">
        <is>
          <t xml:space="preserve">Test Amplitude: </t>
        </is>
      </c>
      <c r="K28" s="516" t="n">
        <v>1</v>
      </c>
    </row>
    <row r="29" ht="15.75" customHeight="1" s="369" thickBot="1">
      <c r="A29" s="298" t="n">
        <v>4</v>
      </c>
      <c r="B29" s="515" t="n">
        <v>0.75</v>
      </c>
      <c r="C29" s="285" t="n">
        <v>50</v>
      </c>
      <c r="D29" s="515" t="n">
        <v>0.549</v>
      </c>
      <c r="E29" s="511" t="n"/>
      <c r="F29" s="285" t="n">
        <v>50</v>
      </c>
      <c r="G29" s="280">
        <f>IF(OR(B29="",D29=""),"",(D29/B29-1)*100)</f>
        <v/>
      </c>
      <c r="H29" s="299">
        <f>IF(OR(C29="",F29=""),"",(F29/C29-1)*100)</f>
        <v/>
      </c>
      <c r="J29" s="313" t="inlineStr">
        <is>
          <t xml:space="preserve">Amp. Unit: </t>
        </is>
      </c>
      <c r="K29" s="314" t="n">
        <v>8</v>
      </c>
    </row>
    <row r="30">
      <c r="A30" s="298" t="n">
        <v>5</v>
      </c>
      <c r="B30" s="515" t="n">
        <v>1</v>
      </c>
      <c r="C30" s="285" t="n">
        <v>50</v>
      </c>
      <c r="D30" s="515" t="n">
        <v>0.733</v>
      </c>
      <c r="E30" s="511" t="n"/>
      <c r="F30" s="285" t="n">
        <v>50</v>
      </c>
      <c r="G30" s="280">
        <f>IF(OR(B30="",D30=""),"",(D30/B30-1)*100)</f>
        <v/>
      </c>
      <c r="H30" s="299">
        <f>IF(OR(C30="",F30=""),"",(F30/C30-1)*100)</f>
        <v/>
      </c>
      <c r="J30" s="468" t="n"/>
      <c r="K30" s="282" t="n"/>
    </row>
    <row r="31">
      <c r="A31" s="298" t="n">
        <v>6</v>
      </c>
      <c r="B31" s="515" t="n">
        <v>1.25</v>
      </c>
      <c r="C31" s="285" t="n">
        <v>50</v>
      </c>
      <c r="D31" s="515" t="n">
        <v>0.915</v>
      </c>
      <c r="E31" s="511" t="n"/>
      <c r="F31" s="285" t="n">
        <v>50</v>
      </c>
      <c r="G31" s="280">
        <f>IF(OR(B31="",D31=""),"",(D31/B31-1)*100)</f>
        <v/>
      </c>
      <c r="H31" s="299">
        <f>IF(OR(C31="",F31=""),"",(F31/C31-1)*100)</f>
        <v/>
      </c>
      <c r="J31" s="468" t="n"/>
      <c r="K31" s="282" t="n"/>
    </row>
    <row r="32">
      <c r="A32" s="298" t="n">
        <v>7</v>
      </c>
      <c r="B32" s="515" t="n">
        <v>1.5</v>
      </c>
      <c r="C32" s="285" t="n">
        <v>50</v>
      </c>
      <c r="D32" s="515" t="n">
        <v>1.097</v>
      </c>
      <c r="E32" s="511" t="n"/>
      <c r="F32" s="285" t="n">
        <v>50</v>
      </c>
      <c r="G32" s="280">
        <f>IF(OR(B32="",D32=""),"",(D32/B32-1)*100)</f>
        <v/>
      </c>
      <c r="H32" s="299">
        <f>IF(OR(C32="",F32=""),"",(F32/C32-1)*100)</f>
        <v/>
      </c>
      <c r="J32" s="468" t="n"/>
      <c r="K32" s="282" t="n"/>
    </row>
    <row r="33">
      <c r="A33" s="298" t="n">
        <v>8</v>
      </c>
      <c r="B33" s="515" t="n"/>
      <c r="C33" s="285" t="n"/>
      <c r="D33" s="515" t="n"/>
      <c r="E33" s="511" t="n"/>
      <c r="F33" s="285" t="n"/>
      <c r="G33" s="280">
        <f>IF(OR(B33="",D33=""),"",(D33/B33-1)*100)</f>
        <v/>
      </c>
      <c r="H33" s="299">
        <f>IF(OR(C33="",F33=""),"",(F33/C33-1)*100)</f>
        <v/>
      </c>
      <c r="J33" s="468" t="n"/>
      <c r="K33" s="282" t="n"/>
    </row>
    <row r="34">
      <c r="A34" s="298" t="n">
        <v>9</v>
      </c>
      <c r="B34" s="515" t="n">
        <v>1</v>
      </c>
      <c r="C34" s="285" t="n">
        <v>10</v>
      </c>
      <c r="D34" s="515" t="n">
        <v>0.533</v>
      </c>
      <c r="E34" s="511" t="n"/>
      <c r="F34" s="285" t="n">
        <v>10</v>
      </c>
      <c r="G34" s="280">
        <f>IF(OR(B34="",D34=""),"",(D34/B34-1)*100)</f>
        <v/>
      </c>
      <c r="H34" s="299">
        <f>IF(OR(C34="",F34=""),"",(F34/C34-1)*100)</f>
        <v/>
      </c>
      <c r="J34" s="468" t="n"/>
      <c r="K34" s="282" t="n"/>
    </row>
    <row r="35">
      <c r="A35" s="298" t="n">
        <v>10</v>
      </c>
      <c r="B35" s="515" t="n">
        <v>1</v>
      </c>
      <c r="C35" s="285" t="n">
        <v>20</v>
      </c>
      <c r="D35" s="515" t="n">
        <v>0.729</v>
      </c>
      <c r="E35" s="511" t="n"/>
      <c r="F35" s="285" t="n">
        <v>20</v>
      </c>
      <c r="G35" s="280">
        <f>IF(OR(B35="",D35=""),"",(D35/B35-1)*100)</f>
        <v/>
      </c>
      <c r="H35" s="299">
        <f>IF(OR(C35="",F35=""),"",(F35/C35-1)*100)</f>
        <v/>
      </c>
      <c r="J35" s="468" t="n"/>
      <c r="K35" s="282" t="n"/>
    </row>
    <row r="36">
      <c r="A36" s="298" t="n">
        <v>11</v>
      </c>
      <c r="B36" s="515" t="n">
        <v>1</v>
      </c>
      <c r="C36" s="285" t="n">
        <v>30</v>
      </c>
      <c r="D36" s="515" t="n">
        <v>0.718</v>
      </c>
      <c r="E36" s="511" t="n"/>
      <c r="F36" s="285" t="n">
        <v>30</v>
      </c>
      <c r="G36" s="280">
        <f>IF(OR(B36="",D36=""),"",(D36/B36-1)*100)</f>
        <v/>
      </c>
      <c r="H36" s="299">
        <f>IF(OR(C36="",F36=""),"",(F36/C36-1)*100)</f>
        <v/>
      </c>
      <c r="I36" s="478" t="n"/>
      <c r="J36" s="478" t="n"/>
      <c r="K36" s="476">
        <f>IF(OR(I36="",J36=""),"",#REF!/#REF!-1)</f>
        <v/>
      </c>
    </row>
    <row r="37">
      <c r="A37" s="298" t="n">
        <v>12</v>
      </c>
      <c r="B37" s="515" t="n">
        <v>1</v>
      </c>
      <c r="C37" s="285" t="n">
        <v>50</v>
      </c>
      <c r="D37" s="515" t="n">
        <v>0.733</v>
      </c>
      <c r="E37" s="511" t="n"/>
      <c r="F37" s="285" t="n">
        <v>50</v>
      </c>
      <c r="G37" s="280">
        <f>IF(OR(B37="",D37=""),"",(D37/B37-1)*100)</f>
        <v/>
      </c>
      <c r="H37" s="299">
        <f>IF(OR(C37="",F37=""),"",(F37/C37-1)*100)</f>
        <v/>
      </c>
      <c r="I37" s="205" t="n"/>
      <c r="J37" s="205" t="n"/>
      <c r="K37" s="205" t="n"/>
    </row>
    <row r="38">
      <c r="A38" s="298" t="n">
        <v>13</v>
      </c>
      <c r="B38" s="515" t="n">
        <v>1</v>
      </c>
      <c r="C38" s="285" t="n">
        <v>60</v>
      </c>
      <c r="D38" s="515" t="n">
        <v>0.73</v>
      </c>
      <c r="E38" s="511" t="n"/>
      <c r="F38" s="285" t="n">
        <v>60</v>
      </c>
      <c r="G38" s="280">
        <f>IF(OR(B38="",D38=""),"",(D38/B38-1)*100)</f>
        <v/>
      </c>
      <c r="H38" s="299">
        <f>IF(OR(C38="",F38=""),"",(F38/C38-1)*100)</f>
        <v/>
      </c>
      <c r="I38" s="205" t="n"/>
      <c r="J38" s="205" t="n"/>
      <c r="K38" s="205" t="n"/>
    </row>
    <row r="39">
      <c r="A39" s="298" t="n">
        <v>14</v>
      </c>
      <c r="B39" s="515" t="n">
        <v>1</v>
      </c>
      <c r="C39" s="285" t="n">
        <v>95</v>
      </c>
      <c r="D39" s="515" t="n">
        <v>0.717</v>
      </c>
      <c r="E39" s="511" t="n"/>
      <c r="F39" s="285" t="n">
        <v>95</v>
      </c>
      <c r="G39" s="280">
        <f>IF(OR(B39="",D39=""),"",(D39/B39-1)*100)</f>
        <v/>
      </c>
      <c r="H39" s="299">
        <f>IF(OR(C39="",F39=""),"",(F39/C39-1)*100)</f>
        <v/>
      </c>
      <c r="I39" s="205" t="n"/>
      <c r="J39" s="205" t="n"/>
      <c r="K39" s="205" t="n"/>
    </row>
    <row r="40" ht="15.75" customHeight="1" s="369" thickBot="1">
      <c r="A40" s="300" t="n">
        <v>15</v>
      </c>
      <c r="B40" s="517" t="n"/>
      <c r="C40" s="302" t="n"/>
      <c r="D40" s="517" t="n"/>
      <c r="E40" s="518" t="n"/>
      <c r="F40" s="302" t="n"/>
      <c r="G40" s="303">
        <f>IF(OR(B40="",D40=""),"",(D40/B40-1)*100)</f>
        <v/>
      </c>
      <c r="H40" s="304">
        <f>IF(OR(C40="",F40=""),"",(F40/C40-1)*100)</f>
        <v/>
      </c>
      <c r="I40" s="205" t="n"/>
      <c r="J40" s="205" t="n"/>
      <c r="K40" s="205" t="n"/>
    </row>
    <row r="41">
      <c r="A41" s="205" t="n"/>
      <c r="B41" s="205" t="n"/>
      <c r="C41" s="205" t="n"/>
      <c r="D41" s="205" t="n"/>
      <c r="E41" s="205" t="n"/>
      <c r="F41" s="205" t="n"/>
      <c r="G41" s="205" t="n"/>
      <c r="H41" s="205" t="n"/>
      <c r="I41" s="205" t="n"/>
      <c r="J41" s="205" t="n"/>
      <c r="K41" s="205" t="n"/>
    </row>
    <row r="42">
      <c r="A42" s="205" t="n"/>
      <c r="B42" s="205" t="n"/>
      <c r="C42" s="205" t="n"/>
      <c r="D42" s="205" t="n"/>
      <c r="E42" s="205" t="n"/>
      <c r="F42" s="205" t="n"/>
      <c r="G42" s="205" t="n"/>
      <c r="H42" s="205" t="n"/>
      <c r="I42" s="205" t="n"/>
      <c r="J42" s="205" t="n"/>
      <c r="K42" s="205" t="n"/>
    </row>
    <row r="43">
      <c r="A43" s="205" t="n"/>
      <c r="B43" s="205" t="n"/>
      <c r="C43" s="205" t="n"/>
      <c r="D43" s="205" t="n"/>
      <c r="E43" s="205" t="n"/>
      <c r="F43" s="205" t="n"/>
      <c r="G43" s="205" t="n"/>
      <c r="H43" s="205" t="n"/>
      <c r="I43" s="205" t="n"/>
      <c r="J43" s="205" t="n"/>
      <c r="K43" s="205" t="n"/>
    </row>
    <row r="44">
      <c r="A44" s="205" t="n"/>
      <c r="B44" s="205" t="n"/>
      <c r="C44" s="205" t="n"/>
      <c r="D44" s="205" t="n"/>
      <c r="E44" s="205" t="n"/>
      <c r="F44" s="205" t="n"/>
      <c r="G44" s="205" t="n"/>
      <c r="H44" s="205" t="n"/>
      <c r="I44" s="205" t="n"/>
      <c r="J44" s="205" t="n"/>
      <c r="K44" s="205" t="n"/>
    </row>
    <row r="45">
      <c r="A45" s="205" t="n"/>
      <c r="B45" s="205" t="n"/>
      <c r="C45" s="205" t="n"/>
      <c r="D45" s="205" t="n"/>
      <c r="E45" s="205" t="n"/>
      <c r="F45" s="205" t="n"/>
      <c r="G45" s="205" t="n"/>
      <c r="H45" s="205" t="n"/>
      <c r="I45" s="205" t="n"/>
      <c r="J45" s="205" t="n"/>
      <c r="K45" s="205" t="n"/>
    </row>
    <row r="46">
      <c r="A46" s="205" t="n"/>
      <c r="B46" s="205" t="n"/>
      <c r="C46" s="205" t="n"/>
      <c r="D46" s="205" t="n"/>
      <c r="E46" s="205" t="n"/>
      <c r="F46" s="205" t="n"/>
      <c r="G46" s="205" t="n"/>
      <c r="H46" s="205" t="n"/>
      <c r="I46" s="205" t="n"/>
      <c r="J46" s="205" t="n"/>
      <c r="K46" s="205" t="n"/>
    </row>
    <row r="47">
      <c r="A47" s="205" t="n"/>
      <c r="B47" s="205" t="n"/>
      <c r="C47" s="205" t="n"/>
      <c r="D47" s="205" t="n"/>
      <c r="E47" s="205" t="n"/>
      <c r="F47" s="205" t="n"/>
      <c r="G47" s="205" t="n"/>
      <c r="H47" s="205" t="n"/>
      <c r="I47" s="205" t="n"/>
      <c r="J47" s="205" t="n"/>
      <c r="K47" s="205" t="n"/>
    </row>
    <row r="48">
      <c r="A48" s="205" t="n"/>
      <c r="B48" s="205" t="n"/>
      <c r="C48" s="205" t="n"/>
      <c r="D48" s="205" t="n"/>
      <c r="E48" s="205" t="n"/>
      <c r="F48" s="205" t="n"/>
      <c r="G48" s="205" t="n"/>
      <c r="H48" s="205" t="n"/>
      <c r="I48" s="205" t="n"/>
      <c r="J48" s="205" t="n"/>
      <c r="K48" s="205" t="n"/>
    </row>
    <row r="49" hidden="1" s="369">
      <c r="A49" s="205" t="n"/>
      <c r="B49" s="205" t="n"/>
      <c r="C49" s="205" t="n"/>
      <c r="D49" s="205" t="n"/>
      <c r="E49" s="205" t="n"/>
      <c r="F49" s="205" t="n"/>
      <c r="G49" s="205" t="n"/>
      <c r="H49" s="205" t="n"/>
      <c r="I49" s="205" t="n"/>
      <c r="J49" s="205" t="n"/>
      <c r="K49" s="205" t="n"/>
    </row>
    <row r="50" hidden="1" s="369">
      <c r="A50" s="205" t="n"/>
      <c r="B50" s="205" t="n"/>
      <c r="C50" s="205" t="n"/>
      <c r="D50" s="205" t="n"/>
      <c r="E50" s="205" t="n"/>
      <c r="F50" s="205" t="n"/>
      <c r="G50" s="205" t="n"/>
      <c r="H50" s="205" t="n"/>
      <c r="I50" s="205" t="n"/>
      <c r="J50" s="205" t="n"/>
      <c r="K50" s="205" t="n"/>
    </row>
    <row r="51" hidden="1" s="369">
      <c r="A51" s="205" t="n"/>
      <c r="B51" s="205" t="n"/>
      <c r="C51" s="205" t="n"/>
      <c r="D51" s="205" t="n"/>
      <c r="E51" s="205" t="n"/>
      <c r="F51" s="205" t="n"/>
      <c r="G51" s="205" t="n"/>
      <c r="H51" s="205" t="n"/>
      <c r="I51" s="205" t="n"/>
      <c r="J51" s="205" t="n"/>
      <c r="K51" s="205" t="n"/>
    </row>
    <row r="52" hidden="1" s="369">
      <c r="A52" s="205" t="n"/>
      <c r="B52" s="205" t="n"/>
      <c r="C52" s="205" t="n"/>
      <c r="D52" s="205" t="n"/>
      <c r="E52" s="205" t="n"/>
      <c r="F52" s="205" t="n"/>
      <c r="G52" s="205" t="n"/>
      <c r="H52" s="205" t="n"/>
      <c r="I52" s="205" t="n"/>
      <c r="J52" s="205" t="n"/>
      <c r="K52" s="205" t="n"/>
    </row>
  </sheetData>
  <sheetProtection selectLockedCells="1" selectUnlockedCells="0" algorithmName="SHA-512" sheet="1" objects="0" insertRows="1" insertHyperlinks="1" autoFilter="1" scenarios="0" formatColumns="1" deleteColumns="1" insertColumns="1" pivotTables="1" deleteRows="1" formatCells="1" saltValue="YqDZPCpveUuogBr+ajGz5A==" formatRows="1" sort="1" spinCount="100000" hashValue="Xl65t+Ej/NpdaasNlOOaolG806UH6QRJd9pBo4AEF5V0cdBlnocyUd+eVWxN18AkKY2xPNIjm4JFyR7bnpOG/w=="/>
  <mergeCells count="35">
    <mergeCell ref="L17:M17"/>
    <mergeCell ref="E10:G10"/>
    <mergeCell ref="A24:A25"/>
    <mergeCell ref="L16:M16"/>
    <mergeCell ref="D34:E34"/>
    <mergeCell ref="E9:G9"/>
    <mergeCell ref="D40:E40"/>
    <mergeCell ref="D36:E36"/>
    <mergeCell ref="D31:E31"/>
    <mergeCell ref="E6:G6"/>
    <mergeCell ref="E11:G11"/>
    <mergeCell ref="D27:E27"/>
    <mergeCell ref="L15:M15"/>
    <mergeCell ref="D32:E32"/>
    <mergeCell ref="D17:E17"/>
    <mergeCell ref="E7:G7"/>
    <mergeCell ref="D24:F24"/>
    <mergeCell ref="D16:E16"/>
    <mergeCell ref="G24:H24"/>
    <mergeCell ref="D37:E37"/>
    <mergeCell ref="D28:E28"/>
    <mergeCell ref="E12:G12"/>
    <mergeCell ref="D18:E18"/>
    <mergeCell ref="D39:E39"/>
    <mergeCell ref="D25:E25"/>
    <mergeCell ref="B24:C24"/>
    <mergeCell ref="D30:E30"/>
    <mergeCell ref="D15:E15"/>
    <mergeCell ref="D33:E33"/>
    <mergeCell ref="E5:G5"/>
    <mergeCell ref="D29:E29"/>
    <mergeCell ref="D38:E38"/>
    <mergeCell ref="D26:E26"/>
    <mergeCell ref="A2:M2"/>
    <mergeCell ref="D35:E35"/>
  </mergeCells>
  <conditionalFormatting sqref="L16:M16">
    <cfRule type="containsBlanks" priority="4" stopIfTrue="1">
      <formula>LEN(TRIM(L16))=0</formula>
    </cfRule>
    <cfRule type="expression" priority="5" dxfId="1" stopIfTrue="1">
      <formula>ABS($L$16)&gt;$K$16</formula>
    </cfRule>
    <cfRule type="expression" priority="6" dxfId="0" stopIfTrue="1">
      <formula>ABS($L$16)&lt;=$K$16</formula>
    </cfRule>
  </conditionalFormatting>
  <conditionalFormatting sqref="L17:M17">
    <cfRule type="expression" priority="1" dxfId="1" stopIfTrue="1">
      <formula>ABS($L$17)&gt;$K$17</formula>
    </cfRule>
    <cfRule type="expression" priority="2" dxfId="0" stopIfTrue="1">
      <formula>ABS($L$17)&lt;=$K$17</formula>
    </cfRule>
    <cfRule type="containsBlanks" priority="3" stopIfTrue="1">
      <formula>LEN(TRIM(L17))=0</formula>
    </cfRule>
  </conditionalFormatting>
  <dataValidations count="3">
    <dataValidation sqref="B26:D40 F26:F40 H6:H7 I36:J36 J27 J30:J35 K25 K28" showDropDown="0" showInputMessage="1" showErrorMessage="1" allowBlank="1" type="decimal" operator="greaterThanOrEqual">
      <formula1>0</formula1>
    </dataValidation>
    <dataValidation sqref="H9:H10" showDropDown="0" showInputMessage="1" showErrorMessage="1" allowBlank="1" type="whole" operator="greaterThanOrEqual">
      <formula1>1</formula1>
    </dataValidation>
    <dataValidation sqref="H12" showDropDown="0" showInputMessage="1" showErrorMessage="1" allowBlank="1" type="decimal" operator="greaterThan">
      <formula1>0</formula1>
    </dataValidation>
  </dataValidations>
  <printOptions horizontalCentered="1"/>
  <pageMargins left="0.25" right="0.25" top="0.5" bottom="0.5" header="0.05" footer="0.05"/>
  <pageSetup orientation="portrait" scale="73"/>
</worksheet>
</file>

<file path=xl/worksheets/sheet5.xml><?xml version="1.0" encoding="utf-8"?>
<worksheet xmlns:r="http://schemas.openxmlformats.org/officeDocument/2006/relationships" xmlns="http://schemas.openxmlformats.org/spreadsheetml/2006/main">
  <sheetPr codeName="Sheet7">
    <outlinePr summaryBelow="1" summaryRight="1"/>
    <pageSetUpPr fitToPage="1"/>
  </sheetPr>
  <dimension ref="A1:L58"/>
  <sheetViews>
    <sheetView zoomScaleNormal="100" workbookViewId="0">
      <selection activeCell="C5" sqref="C5:D5"/>
    </sheetView>
  </sheetViews>
  <sheetFormatPr baseColWidth="8" defaultColWidth="0" defaultRowHeight="12.75" zeroHeight="1"/>
  <cols>
    <col width="1.42578125" customWidth="1" style="354" min="1" max="1"/>
    <col width="13.140625" customWidth="1" style="354" min="2" max="2"/>
    <col width="9.140625" customWidth="1" style="354" min="3" max="3"/>
    <col width="6.42578125" customWidth="1" style="354" min="4" max="4"/>
    <col width="16.140625" customWidth="1" style="354" min="5" max="5"/>
    <col width="9.85546875" customWidth="1" style="354" min="6" max="6"/>
    <col width="7.5703125" customWidth="1" style="354" min="7" max="7"/>
    <col width="10" customWidth="1" style="354" min="8" max="8"/>
    <col width="7.140625" customWidth="1" style="354" min="9" max="9"/>
    <col width="10.7109375" bestFit="1" customWidth="1" style="354" min="10" max="10"/>
    <col width="15.5703125" customWidth="1" style="354" min="11" max="11"/>
    <col width="9.7109375" customWidth="1" style="354" min="12" max="12"/>
    <col width="9.140625" customWidth="1" style="354" min="13" max="13"/>
    <col hidden="1" style="354" min="14" max="16384"/>
  </cols>
  <sheetData>
    <row r="1">
      <c r="A1" s="200" t="n"/>
      <c r="B1" s="197" t="n"/>
      <c r="C1" s="197" t="n"/>
      <c r="D1" s="197" t="n"/>
      <c r="E1" s="197" t="n"/>
      <c r="F1" s="197" t="n"/>
      <c r="G1" s="197" t="n"/>
      <c r="H1" s="197" t="n"/>
      <c r="I1" s="197" t="n"/>
      <c r="J1" s="197" t="n"/>
      <c r="K1" s="197" t="n"/>
      <c r="L1" s="201" t="n"/>
    </row>
    <row r="2" ht="22.5" customHeight="1" s="369">
      <c r="A2" s="198" t="n"/>
      <c r="B2" s="353" t="inlineStr">
        <is>
          <t>~ Calibration Certificate ~</t>
        </is>
      </c>
      <c r="L2" s="40" t="n"/>
    </row>
    <row r="3" ht="10.5" customHeight="1" s="369">
      <c r="A3" s="198" t="n"/>
      <c r="B3" s="202" t="n"/>
      <c r="C3" s="202" t="n"/>
      <c r="D3" s="202" t="n"/>
      <c r="E3" s="202" t="n"/>
      <c r="F3" s="202" t="n"/>
      <c r="G3" s="202" t="n"/>
      <c r="H3" s="202" t="n"/>
      <c r="I3" s="202" t="n"/>
      <c r="J3" s="202" t="n"/>
      <c r="K3" s="202" t="n"/>
      <c r="L3" s="203" t="n"/>
    </row>
    <row r="4" ht="18" customFormat="1" customHeight="1" s="492">
      <c r="A4" s="36" t="n"/>
      <c r="B4" s="492" t="inlineStr">
        <is>
          <t>Sensor Information:</t>
        </is>
      </c>
      <c r="E4" s="492" t="inlineStr">
        <is>
          <t>Calibration Data</t>
        </is>
      </c>
      <c r="I4" s="492" t="inlineStr">
        <is>
          <t>Transducer Specifications</t>
        </is>
      </c>
      <c r="L4" s="37" t="n"/>
    </row>
    <row r="5" ht="15.95" customHeight="1" s="369">
      <c r="A5" s="4" t="n"/>
      <c r="B5" s="354" t="inlineStr">
        <is>
          <t>Model Number</t>
        </is>
      </c>
      <c r="C5" s="356">
        <f>IF(FRRaw!A5&lt;&gt;"",FRRaw!A5,"")</f>
        <v/>
      </c>
      <c r="D5" s="358" t="n"/>
      <c r="E5" s="354">
        <f>"Sensitivity @ "&amp;VLOOKUP(FRData!B8,FRData!A13:A42,1)&amp;" "&amp;FRData!B9&amp;":"</f>
        <v/>
      </c>
      <c r="G5" s="368">
        <f>VLOOKUP(FRData!B8,FRData!A13:D42,3)</f>
        <v/>
      </c>
      <c r="H5" s="370">
        <f>FRData!C12</f>
        <v/>
      </c>
      <c r="I5" s="53" t="inlineStr">
        <is>
          <t>Amp. Range:</t>
        </is>
      </c>
      <c r="J5" s="53" t="n"/>
      <c r="K5" s="356" t="n"/>
      <c r="L5" s="39" t="inlineStr">
        <is>
          <t>g</t>
        </is>
      </c>
    </row>
    <row r="6" ht="15.95" customHeight="1" s="369">
      <c r="A6" s="4" t="n"/>
      <c r="B6" s="354" t="inlineStr">
        <is>
          <t>Serial Number</t>
        </is>
      </c>
      <c r="C6" s="356">
        <f>IF(FRRaw!B5&lt;&gt;"",FRRaw!B5,"")</f>
        <v/>
      </c>
      <c r="D6" s="358" t="n"/>
      <c r="E6" s="354" t="inlineStr">
        <is>
          <t>Test Level:</t>
        </is>
      </c>
      <c r="G6" s="362">
        <f>FIXED(VLOOKUP(FRData!B8,FRData!A13:D42,2),2)</f>
        <v/>
      </c>
      <c r="H6" s="354">
        <f>FRData!B12</f>
        <v/>
      </c>
      <c r="I6" s="53" t="inlineStr">
        <is>
          <t>Resolution:</t>
        </is>
      </c>
      <c r="J6" s="53" t="n"/>
      <c r="K6" s="356" t="n"/>
      <c r="L6" s="39" t="inlineStr">
        <is>
          <t>g</t>
        </is>
      </c>
    </row>
    <row r="7" ht="15.95" customHeight="1" s="369">
      <c r="A7" s="4" t="n"/>
      <c r="B7" s="354" t="inlineStr">
        <is>
          <t>Manufacturer</t>
        </is>
      </c>
      <c r="C7" s="356" t="n"/>
      <c r="D7" s="358" t="n"/>
      <c r="E7" s="354">
        <f>IF(FRRaw!I12,"Inline Charge Amp","")</f>
        <v/>
      </c>
      <c r="I7" s="53" t="inlineStr">
        <is>
          <t>Resonant Freq:</t>
        </is>
      </c>
      <c r="J7" s="53" t="n"/>
      <c r="K7" s="356" t="n"/>
      <c r="L7" s="39" t="inlineStr">
        <is>
          <t>Hz</t>
        </is>
      </c>
    </row>
    <row r="8" ht="15.95" customHeight="1" s="369">
      <c r="A8" s="4" t="n"/>
      <c r="B8" s="354" t="inlineStr">
        <is>
          <t>ID Number</t>
        </is>
      </c>
      <c r="C8" s="356" t="n"/>
      <c r="D8" s="358" t="n"/>
      <c r="E8" s="354">
        <f>IF(FRRaw!I12,"Sensitivity:","")</f>
        <v/>
      </c>
      <c r="G8" s="362">
        <f>IF(FRRaw!I12,FRData!D8,"")</f>
        <v/>
      </c>
      <c r="H8" s="354">
        <f>IF(FRRaw!I12,"mV/pC","")</f>
        <v/>
      </c>
      <c r="I8" s="53" t="inlineStr">
        <is>
          <t>Temp. Range:</t>
        </is>
      </c>
      <c r="J8" s="53" t="n"/>
      <c r="K8" s="58" t="n"/>
      <c r="L8" s="188" t="inlineStr">
        <is>
          <t>oC</t>
        </is>
      </c>
    </row>
    <row r="9" ht="15.95" customHeight="1" s="369">
      <c r="A9" s="4" t="n"/>
      <c r="B9" s="354" t="inlineStr">
        <is>
          <t>Description</t>
        </is>
      </c>
      <c r="C9" s="356" t="n"/>
      <c r="D9" s="358" t="n"/>
      <c r="E9" s="358" t="n"/>
      <c r="F9" s="358" t="n"/>
      <c r="I9" s="53">
        <f>IF(FRRaw!C5&lt;&gt;"","Axis:","")</f>
        <v/>
      </c>
      <c r="J9" s="53" t="n"/>
      <c r="K9" s="356">
        <f>IF(FRRaw!C5&lt;&gt;"",FRRaw!C5,"")</f>
        <v/>
      </c>
      <c r="L9" s="59" t="n"/>
    </row>
    <row r="10" ht="15" customHeight="1" s="369">
      <c r="A10" s="4" t="n"/>
      <c r="C10" s="362" t="n"/>
      <c r="E10" s="6" t="n"/>
      <c r="F10" s="6" t="n"/>
      <c r="L10" s="39" t="n"/>
    </row>
    <row r="11" ht="13.5" customHeight="1" s="369">
      <c r="A11" s="4" t="n"/>
      <c r="B11" s="362" t="n"/>
      <c r="E11" s="372" t="n"/>
      <c r="F11" s="365" t="n"/>
      <c r="H11" s="365" t="n"/>
      <c r="I11" s="365" t="n"/>
      <c r="J11" s="365" t="n"/>
      <c r="L11" s="39" t="n"/>
    </row>
    <row r="12" ht="15" customHeight="1" s="369">
      <c r="A12" s="4" t="n"/>
      <c r="B12" s="350" t="n"/>
      <c r="F12" s="362" t="n"/>
      <c r="H12" s="362" t="n"/>
      <c r="I12" s="362" t="n"/>
      <c r="J12" s="7" t="n"/>
      <c r="L12" s="39" t="n"/>
    </row>
    <row r="13" ht="15" customHeight="1" s="369">
      <c r="A13" s="4" t="n"/>
      <c r="B13" s="350" t="n"/>
      <c r="F13" s="362" t="n"/>
      <c r="H13" s="362" t="n"/>
      <c r="I13" s="362" t="n"/>
      <c r="J13" s="7" t="n"/>
      <c r="L13" s="39" t="n"/>
    </row>
    <row r="14">
      <c r="A14" s="4" t="n"/>
      <c r="B14" s="492" t="n"/>
      <c r="F14" s="362" t="n"/>
      <c r="H14" s="362" t="n"/>
      <c r="I14" s="362" t="n"/>
      <c r="J14" s="7" t="n"/>
      <c r="L14" s="39" t="n"/>
    </row>
    <row r="15">
      <c r="A15" s="4" t="n"/>
      <c r="B15" s="371" t="n"/>
      <c r="L15" s="39" t="n"/>
    </row>
    <row r="16" ht="15" customHeight="1" s="369">
      <c r="A16" s="4" t="n"/>
      <c r="B16" s="371" t="n"/>
      <c r="E16" s="6" t="inlineStr">
        <is>
          <t>Calibration Data:</t>
        </is>
      </c>
      <c r="F16" s="6" t="n"/>
      <c r="L16" s="39" t="n"/>
    </row>
    <row r="17">
      <c r="A17" s="4" t="n"/>
      <c r="E17" s="366" t="inlineStr">
        <is>
          <t>Sensitivity
at</t>
        </is>
      </c>
      <c r="F17" s="368">
        <f>VLOOKUP(FRData!C8,FRData!A13:D21,3,0.01)</f>
        <v/>
      </c>
      <c r="H17" s="33">
        <f>FRData!C12</f>
        <v/>
      </c>
      <c r="I17" s="9" t="n"/>
      <c r="J17" s="387" t="n"/>
      <c r="L17" s="39" t="n"/>
    </row>
    <row r="18">
      <c r="A18" s="4" t="n"/>
      <c r="F18" s="368" t="n"/>
      <c r="H18" s="11" t="n"/>
      <c r="L18" s="39" t="n"/>
    </row>
    <row r="19" ht="15" customHeight="1" s="369">
      <c r="A19" s="4" t="n"/>
      <c r="E19" s="362" t="inlineStr">
        <is>
          <t>Ref. Frequency</t>
        </is>
      </c>
      <c r="F19" s="368">
        <f>FRData!C8</f>
        <v/>
      </c>
      <c r="H19" s="11" t="inlineStr">
        <is>
          <t>Hz</t>
        </is>
      </c>
      <c r="L19" s="39" t="n"/>
    </row>
    <row r="20">
      <c r="A20" s="4" t="n"/>
      <c r="F20" s="362" t="n"/>
      <c r="L20" s="39" t="n"/>
    </row>
    <row r="21">
      <c r="A21" s="4" t="n"/>
      <c r="L21" s="39" t="n"/>
    </row>
    <row r="22">
      <c r="A22" s="4" t="n"/>
      <c r="L22" s="39" t="n"/>
    </row>
    <row r="23">
      <c r="A23" s="4" t="n"/>
      <c r="L23" s="39" t="n"/>
    </row>
    <row r="24">
      <c r="A24" s="4" t="n"/>
      <c r="E24" s="363" t="n"/>
      <c r="F24" s="363" t="n"/>
      <c r="G24" s="363" t="n"/>
      <c r="H24" s="363" t="n"/>
      <c r="I24" s="363" t="n"/>
      <c r="J24" s="363" t="n"/>
      <c r="L24" s="39" t="n"/>
    </row>
    <row r="25">
      <c r="A25" s="4" t="n"/>
      <c r="B25" s="364" t="n"/>
      <c r="L25" s="40" t="n"/>
    </row>
    <row r="26" ht="18" customHeight="1" s="369" thickBot="1">
      <c r="A26" s="4" t="n"/>
      <c r="B26" s="492" t="inlineStr">
        <is>
          <t>Data Table</t>
        </is>
      </c>
      <c r="L26" s="5" t="n"/>
    </row>
    <row r="27" ht="24" customHeight="1" s="369">
      <c r="A27" s="4" t="n"/>
      <c r="B27" s="45">
        <f>"Frequency ("&amp;FRData!B9&amp;")"</f>
        <v/>
      </c>
      <c r="C27" s="46" t="inlineStr">
        <is>
          <t>Deviation (%)</t>
        </is>
      </c>
      <c r="E27" s="492" t="inlineStr">
        <is>
          <t>Notes</t>
        </is>
      </c>
      <c r="L27" s="5" t="n"/>
    </row>
    <row r="28" ht="15" customHeight="1" s="369">
      <c r="A28" s="4" t="n"/>
      <c r="B28" s="47">
        <f>IF(FRData!A13&lt;&gt;"",FRData!A13,"")</f>
        <v/>
      </c>
      <c r="C28" s="110">
        <f>IF(FRData!A13&lt;&gt;"",FRData!D13,"")</f>
        <v/>
      </c>
      <c r="E28" s="60" t="inlineStr">
        <is>
          <t>Results relate only to the items calibrated.</t>
        </is>
      </c>
      <c r="F28" s="53" t="n"/>
      <c r="G28" s="53" t="n"/>
      <c r="H28" s="53" t="n"/>
      <c r="I28" s="53" t="n"/>
      <c r="J28" s="53" t="n"/>
      <c r="K28" s="53" t="n"/>
      <c r="L28" s="5" t="n"/>
    </row>
    <row r="29" ht="15" customHeight="1" s="369">
      <c r="A29" s="4" t="n"/>
      <c r="B29" s="47">
        <f>IF(FRData!A14&lt;&gt;"",FRData!A14,"")</f>
        <v/>
      </c>
      <c r="C29" s="110">
        <f>IF(FRData!A14&lt;&gt;"",FRData!D14,"")</f>
        <v/>
      </c>
      <c r="E29" s="60" t="inlineStr">
        <is>
          <t>This certificate may not be reproduced except in full, without written permission.</t>
        </is>
      </c>
      <c r="F29" s="53" t="n"/>
      <c r="G29" s="53" t="n"/>
      <c r="H29" s="53" t="n"/>
      <c r="I29" s="53" t="n"/>
      <c r="J29" s="53" t="n"/>
      <c r="K29" s="53" t="n"/>
      <c r="L29" s="5" t="n"/>
    </row>
    <row r="30" ht="15" customHeight="1" s="369">
      <c r="A30" s="4" t="n"/>
      <c r="B30" s="47">
        <f>IF(FRData!A15&lt;&gt;"",FRData!A15,"")</f>
        <v/>
      </c>
      <c r="C30" s="110">
        <f>IF(FRData!A15&lt;&gt;"",FRData!D15,"")</f>
        <v/>
      </c>
      <c r="E30" s="11">
        <f>IF(FRRaw!A6="", "","Traceable to "&amp; FRRaw!$A$6 &amp; IF(FRRaw!B6="", "", " and " &amp; FRRaw!$B$6))</f>
        <v/>
      </c>
      <c r="F30" s="53" t="n"/>
      <c r="G30" s="53" t="n"/>
      <c r="H30" s="53" t="n"/>
      <c r="I30" s="53" t="n"/>
      <c r="J30" s="53" t="n"/>
      <c r="K30" s="53" t="n"/>
      <c r="L30" s="5" t="n"/>
    </row>
    <row r="31" ht="15" customHeight="1" s="369">
      <c r="A31" s="4" t="n"/>
      <c r="B31" s="47">
        <f>IF(FRData!A16&lt;&gt;"",FRData!A16,"")</f>
        <v/>
      </c>
      <c r="C31" s="110">
        <f>IF(FRData!A16&lt;&gt;"",FRData!D16,"")</f>
        <v/>
      </c>
      <c r="E31" s="11">
        <f>"This calibration was performed with Portable Vibration Calibrator: M/N: " &amp; FRRaw!D3&amp;", S/N: " &amp;FRRaw!E3&amp;", Firmware version "&amp;FRRaw!F3&amp;"."</f>
        <v/>
      </c>
      <c r="F31" s="53" t="n"/>
      <c r="G31" s="53" t="n"/>
      <c r="H31" s="53" t="n"/>
      <c r="I31" s="53" t="n"/>
      <c r="J31" s="53" t="n"/>
      <c r="K31" s="53" t="n"/>
      <c r="L31" s="5" t="n"/>
    </row>
    <row r="32" ht="15" customHeight="1" s="369">
      <c r="A32" s="4" t="n"/>
      <c r="B32" s="47">
        <f>IF(FRData!A17&lt;&gt;"",FRData!A17,"")</f>
        <v/>
      </c>
      <c r="C32" s="110">
        <f>IF(FRData!A17&lt;&gt;"",FRData!D17,"")</f>
        <v/>
      </c>
      <c r="E32" s="60" t="inlineStr">
        <is>
          <t>Back-to-Back Comparison per ISO 16063-21</t>
        </is>
      </c>
      <c r="F32" s="53" t="n"/>
      <c r="G32" s="53" t="n"/>
      <c r="H32" s="53" t="n"/>
      <c r="I32" s="53" t="n"/>
      <c r="J32" s="53" t="n"/>
      <c r="K32" s="53" t="n"/>
      <c r="L32" s="5" t="n"/>
    </row>
    <row r="33" ht="15" customHeight="1" s="369">
      <c r="A33" s="4" t="n"/>
      <c r="B33" s="47">
        <f>IF(FRData!A18&lt;&gt;"",FRData!A18,"")</f>
        <v/>
      </c>
      <c r="C33" s="110">
        <f>IF(FRData!A18&lt;&gt;"",FRData!D18,"")</f>
        <v/>
      </c>
      <c r="E33" s="53" t="n"/>
      <c r="F33" s="53" t="n"/>
      <c r="G33" s="53" t="n"/>
      <c r="H33" s="53" t="n"/>
      <c r="I33" s="53" t="n"/>
      <c r="J33" s="53" t="n"/>
      <c r="K33" s="53" t="n"/>
      <c r="L33" s="5" t="n"/>
    </row>
    <row r="34" ht="15" customHeight="1" s="369">
      <c r="A34" s="4" t="n"/>
      <c r="B34" s="47">
        <f>IF(FRData!A19&lt;&gt;"",FRData!A19,"")</f>
        <v/>
      </c>
      <c r="C34" s="110">
        <f>IF(FRData!A19&lt;&gt;"",FRData!D19,"")</f>
        <v/>
      </c>
      <c r="E34" s="53" t="n"/>
      <c r="F34" s="53" t="n"/>
      <c r="G34" s="53" t="n"/>
      <c r="H34" s="53" t="n"/>
      <c r="I34" s="53" t="n"/>
      <c r="J34" s="53" t="n"/>
      <c r="K34" s="53" t="n"/>
      <c r="L34" s="5" t="n"/>
    </row>
    <row r="35" ht="15" customHeight="1" s="369">
      <c r="A35" s="4" t="n"/>
      <c r="B35" s="47">
        <f>IF(FRData!A20&lt;&gt;"",FRData!A20,"")</f>
        <v/>
      </c>
      <c r="C35" s="110">
        <f>IF(FRData!A20&lt;&gt;"",FRData!D20,"")</f>
        <v/>
      </c>
      <c r="L35" s="5" t="n"/>
    </row>
    <row r="36" ht="15" customHeight="1" s="369">
      <c r="A36" s="4" t="n"/>
      <c r="B36" s="47">
        <f>IF(FRData!A21&lt;&gt;"",FRData!A21,"")</f>
        <v/>
      </c>
      <c r="C36" s="110">
        <f>IF(FRData!A21&lt;&gt;"",FRData!D21,"")</f>
        <v/>
      </c>
      <c r="E36" s="492" t="inlineStr">
        <is>
          <t>User Notes</t>
        </is>
      </c>
      <c r="F36" s="361">
        <f>IF(FRRaw!$D$5="","",FRRaw!$D$5)</f>
        <v/>
      </c>
      <c r="G36" s="358" t="n"/>
      <c r="H36" s="358" t="n"/>
      <c r="I36" s="358" t="n"/>
      <c r="J36" s="358" t="n"/>
      <c r="K36" s="358" t="n"/>
      <c r="L36" s="519" t="n"/>
    </row>
    <row r="37" ht="15" customHeight="1" s="369">
      <c r="A37" s="4" t="n"/>
      <c r="B37" s="47">
        <f>IF(FRData!A22&lt;&gt;"",FRData!A22,"")</f>
        <v/>
      </c>
      <c r="C37" s="110">
        <f>IF(FRData!A22&lt;&gt;"",FRData!D22,"")</f>
        <v/>
      </c>
      <c r="E37" s="61" t="n"/>
      <c r="F37" s="361" t="n"/>
      <c r="G37" s="358" t="n"/>
      <c r="H37" s="358" t="n"/>
      <c r="I37" s="358" t="n"/>
      <c r="J37" s="358" t="n"/>
      <c r="K37" s="358" t="n"/>
      <c r="L37" s="519" t="n"/>
    </row>
    <row r="38" ht="15" customHeight="1" s="369">
      <c r="A38" s="4" t="n"/>
      <c r="B38" s="47">
        <f>IF(FRData!A23&lt;&gt;"",FRData!A23,"")</f>
        <v/>
      </c>
      <c r="C38" s="110">
        <f>IF(FRData!A23&lt;&gt;"",FRData!D23,"")</f>
        <v/>
      </c>
      <c r="E38" s="61" t="n"/>
      <c r="F38" s="361" t="n"/>
      <c r="G38" s="358" t="n"/>
      <c r="H38" s="358" t="n"/>
      <c r="I38" s="358" t="n"/>
      <c r="J38" s="358" t="n"/>
      <c r="K38" s="358" t="n"/>
      <c r="L38" s="519" t="n"/>
    </row>
    <row r="39" ht="15" customHeight="1" s="369">
      <c r="A39" s="4" t="n"/>
      <c r="B39" s="47">
        <f>IF(FRData!A24&lt;&gt;"",FRData!A24,"")</f>
        <v/>
      </c>
      <c r="C39" s="110">
        <f>IF(FRData!A24&lt;&gt;"",FRData!D24,"")</f>
        <v/>
      </c>
      <c r="E39" s="53" t="n"/>
      <c r="F39" s="361" t="n"/>
      <c r="G39" s="358" t="n"/>
      <c r="H39" s="358" t="n"/>
      <c r="I39" s="358" t="n"/>
      <c r="J39" s="358" t="n"/>
      <c r="K39" s="358" t="n"/>
      <c r="L39" s="519" t="n"/>
    </row>
    <row r="40" ht="15" customHeight="1" s="369">
      <c r="A40" s="4" t="n"/>
      <c r="B40" s="47">
        <f>IF(FRData!A25&lt;&gt;"",FRData!A25,"")</f>
        <v/>
      </c>
      <c r="C40" s="110">
        <f>IF(FRData!A25&lt;&gt;"",FRData!D25,"")</f>
        <v/>
      </c>
      <c r="E40" s="53" t="n"/>
      <c r="F40" s="361" t="n"/>
      <c r="G40" s="358" t="n"/>
      <c r="H40" s="358" t="n"/>
      <c r="I40" s="358" t="n"/>
      <c r="J40" s="358" t="n"/>
      <c r="K40" s="358" t="n"/>
      <c r="L40" s="519" t="n"/>
    </row>
    <row r="41" ht="15" customHeight="1" s="369">
      <c r="A41" s="4" t="n"/>
      <c r="B41" s="47">
        <f>IF(FRData!A26&lt;&gt;"",FRData!A26,"")</f>
        <v/>
      </c>
      <c r="C41" s="110">
        <f>IF(FRData!A26&lt;&gt;"",FRData!D26,"")</f>
        <v/>
      </c>
      <c r="E41" s="492" t="inlineStr">
        <is>
          <t>Customer:</t>
        </is>
      </c>
      <c r="F41" s="361" t="n"/>
      <c r="G41" s="358" t="n"/>
      <c r="H41" s="358" t="n"/>
      <c r="I41" s="358" t="n"/>
      <c r="J41" s="358" t="n"/>
      <c r="K41" s="358" t="n"/>
      <c r="L41" s="519" t="n"/>
    </row>
    <row r="42" ht="15" customHeight="1" s="369">
      <c r="A42" s="4" t="n"/>
      <c r="B42" s="47">
        <f>IF(FRData!A27&lt;&gt;"",FRData!A27,"")</f>
        <v/>
      </c>
      <c r="C42" s="110">
        <f>IF(FRData!A27&lt;&gt;"",FRData!D27,"")</f>
        <v/>
      </c>
      <c r="E42" s="53" t="n"/>
      <c r="F42" s="361" t="n"/>
      <c r="G42" s="358" t="n"/>
      <c r="H42" s="358" t="n"/>
      <c r="I42" s="358" t="n"/>
      <c r="J42" s="358" t="n"/>
      <c r="K42" s="358" t="n"/>
      <c r="L42" s="519" t="n"/>
    </row>
    <row r="43" ht="15" customHeight="1" s="369">
      <c r="A43" s="4" t="n"/>
      <c r="B43" s="47">
        <f>IF(FRData!A28&lt;&gt;"",FRData!A28,"")</f>
        <v/>
      </c>
      <c r="C43" s="110">
        <f>IF(FRData!A28&lt;&gt;"",FRData!D28,"")</f>
        <v/>
      </c>
      <c r="E43" s="53" t="n"/>
      <c r="F43" s="361" t="n"/>
      <c r="G43" s="358" t="n"/>
      <c r="H43" s="358" t="n"/>
      <c r="I43" s="358" t="n"/>
      <c r="J43" s="358" t="n"/>
      <c r="K43" s="358" t="n"/>
      <c r="L43" s="519" t="n"/>
    </row>
    <row r="44" ht="15" customHeight="1" s="369">
      <c r="A44" s="4" t="n"/>
      <c r="B44" s="47">
        <f>IF(FRData!A29&lt;&gt;"",FRData!A29,"")</f>
        <v/>
      </c>
      <c r="C44" s="110">
        <f>IF(FRData!A29&lt;&gt;"",FRData!D29,"")</f>
        <v/>
      </c>
      <c r="E44" s="53" t="n"/>
      <c r="F44" s="361" t="n"/>
      <c r="G44" s="358" t="n"/>
      <c r="H44" s="358" t="n"/>
      <c r="I44" s="358" t="n"/>
      <c r="J44" s="358" t="n"/>
      <c r="K44" s="358" t="n"/>
      <c r="L44" s="519" t="n"/>
    </row>
    <row r="45" ht="15" customHeight="1" s="369">
      <c r="A45" s="4" t="n"/>
      <c r="B45" s="47">
        <f>IF(FRData!A30&lt;&gt;"",FRData!A30,"")</f>
        <v/>
      </c>
      <c r="C45" s="110">
        <f>IF(FRData!A30&lt;&gt;"",FRData!D30,"")</f>
        <v/>
      </c>
      <c r="E45" s="53" t="n"/>
      <c r="F45" s="361" t="n"/>
      <c r="G45" s="358" t="n"/>
      <c r="H45" s="358" t="n"/>
      <c r="I45" s="358" t="n"/>
      <c r="J45" s="358" t="n"/>
      <c r="K45" s="358" t="n"/>
      <c r="L45" s="519" t="n"/>
    </row>
    <row r="46" ht="15" customHeight="1" s="369">
      <c r="A46" s="4" t="n"/>
      <c r="B46" s="47">
        <f>IF(FRData!A31&lt;&gt;"",FRData!A31,"")</f>
        <v/>
      </c>
      <c r="C46" s="110">
        <f>IF(FRData!A31&lt;&gt;"",FRData!D31,"")</f>
        <v/>
      </c>
      <c r="E46" s="53" t="n"/>
      <c r="F46" s="361" t="n"/>
      <c r="G46" s="358" t="n"/>
      <c r="H46" s="358" t="n"/>
      <c r="I46" s="358" t="n"/>
      <c r="J46" s="358" t="n"/>
      <c r="K46" s="358" t="n"/>
      <c r="L46" s="519" t="n"/>
    </row>
    <row r="47" ht="15" customHeight="1" s="369">
      <c r="A47" s="4" t="n"/>
      <c r="B47" s="47">
        <f>IF(FRData!A32&lt;&gt;"",FRData!A32,"")</f>
        <v/>
      </c>
      <c r="C47" s="110">
        <f>IF(FRData!A32&lt;&gt;"",FRData!D32,"")</f>
        <v/>
      </c>
      <c r="E47" s="53" t="n"/>
      <c r="F47" s="361" t="n"/>
      <c r="G47" s="358" t="n"/>
      <c r="H47" s="358" t="n"/>
      <c r="I47" s="358" t="n"/>
      <c r="J47" s="358" t="n"/>
      <c r="K47" s="358" t="n"/>
      <c r="L47" s="519" t="n"/>
    </row>
    <row r="48" ht="15" customHeight="1" s="369">
      <c r="A48" s="4" t="n"/>
      <c r="B48" s="47">
        <f>IF(FRData!A33&lt;&gt;"",FRData!A33,"")</f>
        <v/>
      </c>
      <c r="C48" s="110">
        <f>IF(FRData!A33&lt;&gt;"",FRData!D33,"")</f>
        <v/>
      </c>
      <c r="E48" s="492" t="inlineStr">
        <is>
          <t>Unit Condition</t>
        </is>
      </c>
      <c r="I48" s="372" t="inlineStr">
        <is>
          <t>Lab Conditions</t>
        </is>
      </c>
      <c r="L48" s="5" t="n"/>
    </row>
    <row r="49" ht="15" customHeight="1" s="369">
      <c r="A49" s="4" t="n"/>
      <c r="B49" s="47">
        <f>IF(FRData!A34&lt;&gt;"",FRData!A34,"")</f>
        <v/>
      </c>
      <c r="C49" s="110">
        <f>IF(FRData!A34&lt;&gt;"",FRData!D34,"")</f>
        <v/>
      </c>
      <c r="E49" s="371" t="inlineStr">
        <is>
          <t>As Found:</t>
        </is>
      </c>
      <c r="F49" s="379" t="n"/>
      <c r="G49" s="154" t="n"/>
      <c r="H49" s="387" t="n"/>
      <c r="I49" s="371" t="inlineStr">
        <is>
          <t>Temperature:</t>
        </is>
      </c>
      <c r="K49" s="356" t="n"/>
      <c r="L49" s="62" t="inlineStr">
        <is>
          <t>oC</t>
        </is>
      </c>
    </row>
    <row r="50" ht="15" customHeight="1" s="369">
      <c r="A50" s="4" t="n"/>
      <c r="B50" s="47">
        <f>IF(FRData!A35&lt;&gt;"",FRData!A35,"")</f>
        <v/>
      </c>
      <c r="C50" s="110">
        <f>IF(FRData!A35&lt;&gt;"",FRData!D35,"")</f>
        <v/>
      </c>
      <c r="E50" s="371" t="inlineStr">
        <is>
          <t>As Left:</t>
        </is>
      </c>
      <c r="F50" s="379" t="n"/>
      <c r="G50" s="154" t="n"/>
      <c r="I50" s="371" t="inlineStr">
        <is>
          <t>Humidity:</t>
        </is>
      </c>
      <c r="K50" s="356" t="n"/>
      <c r="L50" s="59" t="inlineStr">
        <is>
          <t>%</t>
        </is>
      </c>
    </row>
    <row r="51" ht="15" customHeight="1" s="369">
      <c r="A51" s="4" t="n"/>
      <c r="B51" s="47">
        <f>IF(FRData!A36&lt;&gt;"",FRData!A36,"")</f>
        <v/>
      </c>
      <c r="C51" s="110">
        <f>IF(FRData!A36&lt;&gt;"",FRData!D36,"")</f>
        <v/>
      </c>
      <c r="E51" s="64" t="n"/>
      <c r="F51" s="356" t="n"/>
      <c r="G51" s="391" t="n"/>
      <c r="H51" s="53" t="n"/>
      <c r="K51" s="362" t="n"/>
      <c r="L51" s="5" t="n"/>
    </row>
    <row r="52" ht="15" customHeight="1" s="369">
      <c r="A52" s="4" t="n"/>
      <c r="B52" s="47">
        <f>IF(FRData!A37&lt;&gt;"",FRData!A37,"")</f>
        <v/>
      </c>
      <c r="C52" s="110">
        <f>IF(FRData!A37&lt;&gt;"",FRData!D37,"")</f>
        <v/>
      </c>
      <c r="E52" s="64" t="n"/>
      <c r="F52" s="356" t="n"/>
      <c r="G52" s="391" t="n"/>
      <c r="H52" s="53" t="n"/>
      <c r="K52" s="362" t="n"/>
      <c r="L52" s="5" t="n"/>
    </row>
    <row r="53" ht="15" customHeight="1" s="369">
      <c r="A53" s="4" t="n"/>
      <c r="B53" s="47">
        <f>IF(FRData!A38&lt;&gt;"",FRData!A38,"")</f>
        <v/>
      </c>
      <c r="C53" s="110">
        <f>IF(FRData!A38&lt;&gt;"",FRData!D38,"")</f>
        <v/>
      </c>
      <c r="E53" s="53" t="n"/>
      <c r="F53" s="53" t="n"/>
      <c r="G53" s="53" t="n"/>
      <c r="H53" s="53" t="n"/>
      <c r="L53" s="5" t="n"/>
    </row>
    <row r="54" ht="15" customHeight="1" s="369">
      <c r="A54" s="4" t="n"/>
      <c r="B54" s="47">
        <f>IF(FRData!A39&lt;&gt;"",FRData!A39,"")</f>
        <v/>
      </c>
      <c r="C54" s="110">
        <f>IF(FRData!A39&lt;&gt;"",FRData!D39,"")</f>
        <v/>
      </c>
      <c r="E54" s="492" t="inlineStr">
        <is>
          <t>Approval Information</t>
        </is>
      </c>
      <c r="L54" s="5" t="n"/>
    </row>
    <row r="55" ht="15" customHeight="1" s="369">
      <c r="A55" s="4" t="n"/>
      <c r="B55" s="47">
        <f>IF(FRData!A40&lt;&gt;"",FRData!A40,"")</f>
        <v/>
      </c>
      <c r="C55" s="110">
        <f>IF(FRData!A40&lt;&gt;"",FRData!D40,"")</f>
        <v/>
      </c>
      <c r="E55" s="371" t="inlineStr">
        <is>
          <t>Technician:</t>
        </is>
      </c>
      <c r="F55" s="356" t="n"/>
      <c r="G55" s="358" t="n"/>
      <c r="H55" s="53" t="n"/>
      <c r="I55" s="371" t="inlineStr">
        <is>
          <t>Calibration Date:</t>
        </is>
      </c>
      <c r="K55" s="156">
        <f>FRRaw!B3</f>
        <v/>
      </c>
      <c r="L55" s="5" t="n"/>
    </row>
    <row r="56" ht="15" customHeight="1" s="369">
      <c r="A56" s="4" t="n"/>
      <c r="B56" s="47">
        <f>IF(FRData!A41&lt;&gt;"",FRData!A41,"")</f>
        <v/>
      </c>
      <c r="C56" s="110">
        <f>IF(FRData!A41&lt;&gt;"",FRData!D41,"")</f>
        <v/>
      </c>
      <c r="E56" s="371" t="inlineStr">
        <is>
          <t>Approval:</t>
        </is>
      </c>
      <c r="F56" s="63" t="n"/>
      <c r="G56" s="358" t="n"/>
      <c r="H56" s="53" t="n"/>
      <c r="I56" s="371" t="inlineStr">
        <is>
          <t>Calibration Time:</t>
        </is>
      </c>
      <c r="K56" s="155">
        <f>FRRaw!C3</f>
        <v/>
      </c>
      <c r="L56" s="5" t="n"/>
    </row>
    <row r="57" ht="15" customHeight="1" s="369" thickBot="1">
      <c r="A57" s="4" t="n"/>
      <c r="B57" s="48">
        <f>IF(FRData!A42&lt;&gt;"",FRData!A42,"")</f>
        <v/>
      </c>
      <c r="C57" s="111">
        <f>IF(FRData!A42&lt;&gt;"",FRData!D42,"")</f>
        <v/>
      </c>
      <c r="I57" s="371" t="inlineStr">
        <is>
          <t>Due Date:</t>
        </is>
      </c>
      <c r="K57" s="157" t="n"/>
      <c r="L57" s="5" t="n"/>
    </row>
    <row r="58" ht="13.5" customHeight="1" s="369" thickBot="1">
      <c r="A58" s="12" t="n"/>
      <c r="B58" s="13" t="n"/>
      <c r="C58" s="13" t="n"/>
      <c r="D58" s="13" t="n"/>
      <c r="E58" s="13" t="n"/>
      <c r="F58" s="13" t="n"/>
      <c r="G58" s="13" t="n"/>
      <c r="H58" s="13" t="n"/>
      <c r="I58" s="13" t="n"/>
      <c r="J58" s="13" t="n"/>
      <c r="K58" s="13" t="n"/>
      <c r="L58" s="14" t="n"/>
    </row>
  </sheetData>
  <sheetProtection selectLockedCells="1" selectUnlockedCells="0" sheet="1" objects="0" insertRows="1" insertHyperlinks="1" autoFilter="1" scenarios="0" formatColumns="1" deleteColumns="1" insertColumns="1" pivotTables="1" deleteRows="1" formatCells="0" formatRows="1" sort="1" password="DD38"/>
  <mergeCells count="38">
    <mergeCell ref="F46:L46"/>
    <mergeCell ref="B11:D11"/>
    <mergeCell ref="F11:G11"/>
    <mergeCell ref="E17:E18"/>
    <mergeCell ref="C6:D6"/>
    <mergeCell ref="B25:L25"/>
    <mergeCell ref="F19:G19"/>
    <mergeCell ref="F43:L43"/>
    <mergeCell ref="I49:J49"/>
    <mergeCell ref="F37:L37"/>
    <mergeCell ref="F39:L39"/>
    <mergeCell ref="B13:D13"/>
    <mergeCell ref="E5:F5"/>
    <mergeCell ref="C5:D5"/>
    <mergeCell ref="I57:J57"/>
    <mergeCell ref="F12:G12"/>
    <mergeCell ref="C10:D10"/>
    <mergeCell ref="F44:L44"/>
    <mergeCell ref="F18:G18"/>
    <mergeCell ref="B2:L2"/>
    <mergeCell ref="I56:J56"/>
    <mergeCell ref="F17:G17"/>
    <mergeCell ref="F40:L40"/>
    <mergeCell ref="I55:J55"/>
    <mergeCell ref="F13:G13"/>
    <mergeCell ref="I48:J48"/>
    <mergeCell ref="F42:L42"/>
    <mergeCell ref="C8:D8"/>
    <mergeCell ref="F45:L45"/>
    <mergeCell ref="C9:F9"/>
    <mergeCell ref="F36:L36"/>
    <mergeCell ref="C7:D7"/>
    <mergeCell ref="F41:L41"/>
    <mergeCell ref="F47:L47"/>
    <mergeCell ref="F14:G14"/>
    <mergeCell ref="I50:J50"/>
    <mergeCell ref="F38:L38"/>
    <mergeCell ref="B12:D12"/>
  </mergeCells>
  <printOptions horizontalCentered="1" verticalCentered="1"/>
  <pageMargins left="0.25" right="0.25" top="0.31" bottom="0.2" header="0.1" footer="0.1"/>
  <pageSetup orientation="portrait" scale="87"/>
  <drawing r:id="rId1"/>
  <legacyDrawing r:id="anysvml"/>
</worksheet>
</file>

<file path=xl/worksheets/sheet6.xml><?xml version="1.0" encoding="utf-8"?>
<worksheet xmlns:r="http://schemas.openxmlformats.org/officeDocument/2006/relationships" xmlns="http://schemas.openxmlformats.org/spreadsheetml/2006/main">
  <sheetPr codeName="Sheet8">
    <outlinePr summaryBelow="1" summaryRight="1"/>
    <pageSetUpPr fitToPage="1"/>
  </sheetPr>
  <dimension ref="A1:AF58"/>
  <sheetViews>
    <sheetView zoomScaleNormal="100" workbookViewId="0">
      <selection activeCell="E5" sqref="E5:I5"/>
    </sheetView>
  </sheetViews>
  <sheetFormatPr baseColWidth="8" defaultColWidth="0" defaultRowHeight="12.75" zeroHeight="1"/>
  <cols>
    <col width="3.7109375" customWidth="1" style="354" min="1" max="1"/>
    <col width="3.42578125" customWidth="1" style="354" min="2" max="28"/>
    <col width="3.140625" customWidth="1" style="354" min="29" max="29"/>
    <col width="9.140625" customWidth="1" style="354" min="30" max="30"/>
    <col hidden="1" style="354" min="31" max="16384"/>
  </cols>
  <sheetData>
    <row r="1" ht="15" customHeight="1" s="369">
      <c r="A1" s="15" t="n"/>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16" t="n"/>
    </row>
    <row r="2" ht="22.5" customHeight="1" s="369">
      <c r="A2" s="520" t="inlineStr">
        <is>
          <t>~ Linearity Certificate ~</t>
        </is>
      </c>
      <c r="AC2" s="40" t="n"/>
    </row>
    <row r="3">
      <c r="A3" s="17" t="n"/>
      <c r="B3" s="18" t="n"/>
      <c r="C3" s="18" t="n"/>
      <c r="D3" s="18" t="n"/>
      <c r="E3" s="18" t="n"/>
      <c r="F3" s="18" t="n"/>
      <c r="G3" s="18" t="n"/>
      <c r="H3" s="18" t="n"/>
      <c r="I3" s="18" t="n"/>
      <c r="J3" s="18" t="n"/>
      <c r="K3" s="18" t="n"/>
      <c r="L3" s="18" t="n"/>
      <c r="M3" s="18" t="n"/>
      <c r="N3" s="18" t="n"/>
      <c r="O3" s="18" t="n"/>
      <c r="U3" s="18" t="n"/>
      <c r="V3" s="18" t="n"/>
      <c r="W3" s="18" t="n"/>
      <c r="X3" s="18" t="n"/>
      <c r="Y3" s="18" t="n"/>
      <c r="Z3" s="18" t="n"/>
      <c r="AA3" s="18" t="n"/>
      <c r="AB3" s="18" t="n"/>
      <c r="AC3" s="19" t="n"/>
    </row>
    <row r="4" ht="15" customHeight="1" s="369">
      <c r="A4" s="17" t="n"/>
      <c r="B4" s="411" t="inlineStr">
        <is>
          <t>Sensor Information</t>
        </is>
      </c>
      <c r="G4" s="20" t="n"/>
      <c r="H4" s="20" t="n"/>
      <c r="I4" s="21" t="n"/>
      <c r="J4" s="411" t="inlineStr">
        <is>
          <t>Calibration Data</t>
        </is>
      </c>
      <c r="O4" s="20" t="n"/>
      <c r="P4" s="20" t="n"/>
      <c r="Q4" s="20" t="n"/>
      <c r="R4" s="20" t="n"/>
      <c r="S4" s="20" t="n"/>
      <c r="T4" s="20" t="n"/>
      <c r="U4" s="34" t="n"/>
      <c r="V4" s="412" t="inlineStr">
        <is>
          <t>Transducer Specifications</t>
        </is>
      </c>
      <c r="AC4" s="40" t="n"/>
      <c r="AE4" s="401" t="n"/>
      <c r="AF4" s="401" t="n"/>
    </row>
    <row r="5" ht="15" customHeight="1" s="369">
      <c r="A5" s="23" t="n"/>
      <c r="B5" s="389" t="inlineStr">
        <is>
          <t>Model Number:</t>
        </is>
      </c>
      <c r="E5" s="390">
        <f>IF(LINRaw!A5="","",LINRaw!A5)</f>
        <v/>
      </c>
      <c r="F5" s="358" t="n"/>
      <c r="G5" s="358" t="n"/>
      <c r="H5" s="358" t="n"/>
      <c r="I5" s="358" t="n"/>
      <c r="J5" s="389" t="inlineStr">
        <is>
          <t>Sensitivity @ Test Freq.:</t>
        </is>
      </c>
      <c r="O5" s="521">
        <f>IF('Linfit Worksheet'!B7&lt;1,FIXED('Linfit Worksheet'!B7,3),FIXED('Linfit Worksheet'!B7,3))</f>
        <v/>
      </c>
      <c r="R5" s="396">
        <f>LINData!$D$13</f>
        <v/>
      </c>
      <c r="U5" s="362" t="n"/>
      <c r="V5" s="399" t="inlineStr">
        <is>
          <t>Amp. Range:</t>
        </is>
      </c>
      <c r="W5" s="358" t="n"/>
      <c r="X5" s="358" t="n"/>
      <c r="Y5" s="377" t="n"/>
      <c r="Z5" s="358" t="n"/>
      <c r="AA5" s="358" t="n"/>
      <c r="AB5" s="378">
        <f>DLinMeasureRangeUnit</f>
        <v/>
      </c>
      <c r="AC5" s="519" t="n"/>
    </row>
    <row r="6" ht="15" customHeight="1" s="369">
      <c r="A6" s="23" t="n"/>
      <c r="B6" s="389" t="inlineStr">
        <is>
          <t>Serial Number:</t>
        </is>
      </c>
      <c r="E6" s="390">
        <f>IF(LINRaw!B5="","",LINRaw!B5)</f>
        <v/>
      </c>
      <c r="F6" s="358" t="n"/>
      <c r="G6" s="358" t="n"/>
      <c r="H6" s="358" t="n"/>
      <c r="I6" s="358" t="n"/>
      <c r="J6" s="11" t="n"/>
      <c r="K6" s="11" t="n"/>
      <c r="L6" s="11" t="n"/>
      <c r="M6" s="11" t="n"/>
      <c r="N6" s="11" t="n"/>
      <c r="O6" s="392" t="n"/>
      <c r="R6" s="389" t="n"/>
      <c r="U6" s="362" t="n"/>
      <c r="V6" s="399">
        <f>IF(MeasurementResolution&lt;0.000000001,"","Resolution:")</f>
        <v/>
      </c>
      <c r="W6" s="358" t="n"/>
      <c r="X6" s="358" t="n"/>
      <c r="Y6" s="377" t="n"/>
      <c r="Z6" s="358" t="n"/>
      <c r="AA6" s="358" t="n"/>
      <c r="AB6" s="378">
        <f>IF(Y6&lt;0.000000001,"",DLinMeasureRangeUnit)</f>
        <v/>
      </c>
      <c r="AC6" s="519" t="n"/>
    </row>
    <row r="7" ht="15" customHeight="1" s="369">
      <c r="A7" s="23" t="n"/>
      <c r="B7" s="389" t="inlineStr">
        <is>
          <t>Manufacturer:</t>
        </is>
      </c>
      <c r="E7" s="390" t="n"/>
      <c r="F7" s="358" t="n"/>
      <c r="G7" s="358" t="n"/>
      <c r="H7" s="358" t="n"/>
      <c r="I7" s="358" t="n"/>
      <c r="J7" s="389" t="inlineStr">
        <is>
          <t>Test Frequency</t>
        </is>
      </c>
      <c r="O7" s="395">
        <f>LINData!$B$11</f>
        <v/>
      </c>
      <c r="R7" s="389">
        <f>LINData!$C$11</f>
        <v/>
      </c>
      <c r="U7" s="395" t="n"/>
      <c r="V7" s="399" t="inlineStr">
        <is>
          <t>Resonant Freq:</t>
        </is>
      </c>
      <c r="W7" s="358" t="n"/>
      <c r="X7" s="358" t="n"/>
      <c r="Y7" s="377" t="n"/>
      <c r="Z7" s="358" t="n"/>
      <c r="AA7" s="358" t="n"/>
      <c r="AB7" s="378" t="inlineStr">
        <is>
          <t>Hz</t>
        </is>
      </c>
      <c r="AC7" s="519" t="n"/>
    </row>
    <row r="8" ht="15" customHeight="1" s="369">
      <c r="A8" s="23" t="n"/>
      <c r="B8" s="389" t="inlineStr">
        <is>
          <t>ID Number:</t>
        </is>
      </c>
      <c r="E8" s="390" t="n"/>
      <c r="F8" s="358" t="n"/>
      <c r="G8" s="358" t="n"/>
      <c r="H8" s="358" t="n"/>
      <c r="I8" s="358" t="n"/>
      <c r="J8" s="389" t="n"/>
      <c r="O8" s="395" t="n"/>
      <c r="R8" s="401" t="n"/>
      <c r="U8" s="395" t="n"/>
      <c r="V8" s="399" t="inlineStr">
        <is>
          <t>Temp. Range:</t>
        </is>
      </c>
      <c r="W8" s="358" t="n"/>
      <c r="X8" s="358" t="n"/>
      <c r="Y8" s="400" t="n"/>
      <c r="Z8" s="358" t="n"/>
      <c r="AA8" s="358" t="n"/>
      <c r="AB8" s="378" t="inlineStr">
        <is>
          <t>oC</t>
        </is>
      </c>
      <c r="AC8" s="519" t="n"/>
    </row>
    <row r="9" ht="13.5" customHeight="1" s="369">
      <c r="A9" s="24" t="n"/>
      <c r="B9" s="389" t="n"/>
      <c r="C9" s="389" t="n"/>
      <c r="D9" s="389" t="n"/>
      <c r="E9" s="401" t="n"/>
      <c r="F9" s="401" t="n"/>
      <c r="G9" s="401" t="n"/>
      <c r="H9" s="401" t="n"/>
      <c r="I9" s="401" t="n"/>
      <c r="J9" s="389" t="inlineStr">
        <is>
          <t>Linearity:</t>
        </is>
      </c>
      <c r="O9" s="395">
        <f>FIXED(LINData!$E$11*100,2)</f>
        <v/>
      </c>
      <c r="R9" s="401" t="inlineStr">
        <is>
          <t>%</t>
        </is>
      </c>
      <c r="U9" s="21" t="n"/>
      <c r="V9" s="399">
        <f>IF(LINRaw!C5&lt;&gt;"","Axis:","")</f>
        <v/>
      </c>
      <c r="W9" s="358" t="n"/>
      <c r="X9" s="358" t="n"/>
      <c r="Y9" s="377">
        <f>IF(LINRaw!C5&lt;&gt;"",LINRaw!C5,"")</f>
        <v/>
      </c>
      <c r="Z9" s="358" t="n"/>
      <c r="AA9" s="358" t="n"/>
      <c r="AB9" s="378" t="n"/>
      <c r="AC9" s="519" t="n"/>
    </row>
    <row r="10">
      <c r="A10" s="4" t="n"/>
      <c r="B10" s="406" t="inlineStr">
        <is>
          <t>Amplitude Linearity</t>
        </is>
      </c>
      <c r="I10" s="25" t="n"/>
      <c r="J10" s="25" t="n"/>
      <c r="K10" s="25" t="n"/>
      <c r="L10" s="25" t="n"/>
      <c r="M10" s="25" t="n"/>
      <c r="AC10" s="5" t="n"/>
    </row>
    <row r="11">
      <c r="A11" s="522" t="n"/>
      <c r="AC11" s="40" t="n"/>
    </row>
    <row r="12">
      <c r="A12" s="523" t="n"/>
      <c r="AC12" s="40" t="n"/>
    </row>
    <row r="13">
      <c r="A13" s="523" t="n"/>
      <c r="AC13" s="40" t="n"/>
    </row>
    <row r="14">
      <c r="A14" s="523" t="n"/>
      <c r="AC14" s="40" t="n"/>
    </row>
    <row r="15">
      <c r="A15" s="523" t="n"/>
      <c r="AC15" s="40" t="n"/>
    </row>
    <row r="16">
      <c r="A16" s="523" t="n"/>
      <c r="AC16" s="40" t="n"/>
    </row>
    <row r="17">
      <c r="A17" s="523" t="n"/>
      <c r="AC17" s="40" t="n"/>
    </row>
    <row r="18">
      <c r="A18" s="523" t="n"/>
      <c r="AC18" s="40" t="n"/>
    </row>
    <row r="19">
      <c r="A19" s="523" t="n"/>
      <c r="AC19" s="40" t="n"/>
    </row>
    <row r="20">
      <c r="A20" s="523" t="n"/>
      <c r="AC20" s="40" t="n"/>
    </row>
    <row r="21">
      <c r="A21" s="523" t="n"/>
      <c r="AC21" s="40" t="n"/>
    </row>
    <row r="22">
      <c r="A22" s="523" t="n"/>
      <c r="AC22" s="40" t="n"/>
    </row>
    <row r="23">
      <c r="A23" s="523" t="n"/>
      <c r="AC23" s="40" t="n"/>
    </row>
    <row r="24">
      <c r="A24" s="523" t="n"/>
      <c r="AC24" s="40" t="n"/>
    </row>
    <row r="25">
      <c r="A25" s="523" t="n"/>
      <c r="AC25" s="40" t="n"/>
    </row>
    <row r="26" ht="13.5" customHeight="1" s="369" thickBot="1">
      <c r="A26" s="4" t="n"/>
      <c r="B26" s="372" t="inlineStr">
        <is>
          <t>Data Table</t>
        </is>
      </c>
      <c r="F26" s="363" t="n"/>
      <c r="G26" s="363" t="n"/>
      <c r="I26" s="26" t="n"/>
      <c r="J26" s="26" t="n"/>
      <c r="T26" s="21" t="n"/>
      <c r="U26" s="21" t="n"/>
      <c r="V26" s="21" t="n"/>
      <c r="W26" s="27" t="n"/>
      <c r="X26" s="27" t="n"/>
      <c r="Y26" s="27" t="n"/>
      <c r="Z26" s="27" t="n"/>
      <c r="AA26" s="27" t="n"/>
      <c r="AB26" s="27" t="n"/>
      <c r="AC26" s="5" t="n"/>
    </row>
    <row r="27" ht="15" customHeight="1" s="369">
      <c r="A27" s="4" t="n"/>
      <c r="B27" s="397">
        <f>LINData!B12&amp;" ("&amp;LINData!B13&amp;")"</f>
        <v/>
      </c>
      <c r="C27" s="513" t="n"/>
      <c r="D27" s="512" t="n"/>
      <c r="E27" s="404">
        <f>"Output ("&amp;LINData!C13&amp;")"</f>
        <v/>
      </c>
      <c r="F27" s="513" t="n"/>
      <c r="G27" s="512" t="n"/>
      <c r="H27" s="404" t="inlineStr">
        <is>
          <t>Linearity (%)</t>
        </is>
      </c>
      <c r="I27" s="513" t="n"/>
      <c r="J27" s="512" t="n"/>
      <c r="L27" s="372" t="inlineStr">
        <is>
          <t>Notes</t>
        </is>
      </c>
      <c r="AC27" s="5" t="n"/>
    </row>
    <row r="28" ht="13.5" customHeight="1" s="369">
      <c r="A28" s="4" t="n"/>
      <c r="B28" s="374">
        <f>IF(LINData!B14&lt;&gt;"",IF(LINData!C14&lt;&gt;"",LINData!B14,""),"")</f>
        <v/>
      </c>
      <c r="C28" s="495" t="n"/>
      <c r="D28" s="496" t="n"/>
      <c r="E28" s="376">
        <f>IF(LINData!B14&lt;&gt;"",IF(LINData!C14&lt;&gt;"",LINData!C14,""),"")</f>
        <v/>
      </c>
      <c r="F28" s="495" t="n"/>
      <c r="G28" s="496" t="n"/>
      <c r="H28" s="524">
        <f>IF(LINData!B14&lt;&gt;"",IF(LINData!C14&lt;&gt;"",LINData!E14,""),"")</f>
        <v/>
      </c>
      <c r="I28" s="495" t="n"/>
      <c r="J28" s="496" t="n"/>
      <c r="L28" s="382" t="inlineStr">
        <is>
          <t>Results relate only to the items calibrated.</t>
        </is>
      </c>
      <c r="M28" s="358" t="n"/>
      <c r="N28" s="358" t="n"/>
      <c r="O28" s="358" t="n"/>
      <c r="P28" s="358" t="n"/>
      <c r="Q28" s="358" t="n"/>
      <c r="R28" s="358" t="n"/>
      <c r="S28" s="358" t="n"/>
      <c r="T28" s="358" t="n"/>
      <c r="U28" s="358" t="n"/>
      <c r="V28" s="358" t="n"/>
      <c r="W28" s="358" t="n"/>
      <c r="X28" s="358" t="n"/>
      <c r="Y28" s="358" t="n"/>
      <c r="Z28" s="358" t="n"/>
      <c r="AA28" s="358" t="n"/>
      <c r="AB28" s="358" t="n"/>
      <c r="AC28" s="519" t="n"/>
    </row>
    <row r="29" ht="12.95" customHeight="1" s="369">
      <c r="A29" s="4" t="n"/>
      <c r="B29" s="374">
        <f>IF(LINData!B15&lt;&gt;"",IF(LINData!C15&lt;&gt;"",LINData!B15,""),"")</f>
        <v/>
      </c>
      <c r="C29" s="495" t="n"/>
      <c r="D29" s="496" t="n"/>
      <c r="E29" s="376">
        <f>IF(LINData!B15&lt;&gt;"",IF(LINData!C15&lt;&gt;"",LINData!C15,""),"")</f>
        <v/>
      </c>
      <c r="F29" s="495" t="n"/>
      <c r="G29" s="496" t="n"/>
      <c r="H29" s="524">
        <f>IF(LINData!B15&lt;&gt;"",IF(LINData!C15&lt;&gt;"",LINData!E15,""),"")</f>
        <v/>
      </c>
      <c r="I29" s="495" t="n"/>
      <c r="J29" s="496" t="n"/>
      <c r="L29" s="382" t="inlineStr">
        <is>
          <t>This certificate may not be reproduced except in full, without written permision.</t>
        </is>
      </c>
      <c r="M29" s="358" t="n"/>
      <c r="N29" s="358" t="n"/>
      <c r="O29" s="358" t="n"/>
      <c r="P29" s="358" t="n"/>
      <c r="Q29" s="358" t="n"/>
      <c r="R29" s="358" t="n"/>
      <c r="S29" s="358" t="n"/>
      <c r="T29" s="358" t="n"/>
      <c r="U29" s="358" t="n"/>
      <c r="V29" s="358" t="n"/>
      <c r="W29" s="358" t="n"/>
      <c r="X29" s="358" t="n"/>
      <c r="Y29" s="358" t="n"/>
      <c r="Z29" s="358" t="n"/>
      <c r="AA29" s="358" t="n"/>
      <c r="AB29" s="358" t="n"/>
      <c r="AC29" s="519" t="n"/>
    </row>
    <row r="30" ht="12.95" customHeight="1" s="369">
      <c r="A30" s="4" t="n"/>
      <c r="B30" s="374">
        <f>IF(LINData!B16&lt;&gt;"",IF(LINData!C16&lt;&gt;"",LINData!B16,""),"")</f>
        <v/>
      </c>
      <c r="C30" s="495" t="n"/>
      <c r="D30" s="496" t="n"/>
      <c r="E30" s="376">
        <f>IF(LINData!B16&lt;&gt;"",IF(LINData!C16&lt;&gt;"",LINData!C16,""),"")</f>
        <v/>
      </c>
      <c r="F30" s="495" t="n"/>
      <c r="G30" s="496" t="n"/>
      <c r="H30" s="524">
        <f>IF(LINData!B16&lt;&gt;"",IF(LINData!C16&lt;&gt;"",LINData!E16,""),"")</f>
        <v/>
      </c>
      <c r="I30" s="495" t="n"/>
      <c r="J30" s="496" t="n"/>
      <c r="L30" s="384">
        <f>IF(LINRaw!A6="", "","Traceable to "&amp; LINRaw!$A$6 &amp; IF(LINRaw!B6="", "", " and " &amp; LINRaw!$B$6))</f>
        <v/>
      </c>
      <c r="AC30" s="40" t="n"/>
    </row>
    <row r="31" ht="12.95" customHeight="1" s="369">
      <c r="A31" s="4" t="n"/>
      <c r="B31" s="374">
        <f>IF(LINData!B17&lt;&gt;"",IF(LINData!C17&lt;&gt;"",LINData!B17,""),"")</f>
        <v/>
      </c>
      <c r="C31" s="495" t="n"/>
      <c r="D31" s="496" t="n"/>
      <c r="E31" s="376">
        <f>IF(LINData!B17&lt;&gt;"",IF(LINData!C17&lt;&gt;"",LINData!C17,""),"")</f>
        <v/>
      </c>
      <c r="F31" s="495" t="n"/>
      <c r="G31" s="496" t="n"/>
      <c r="H31" s="524">
        <f>IF(LINData!B17&lt;&gt;"",IF(LINData!C17&lt;&gt;"",LINData!E17,""),"")</f>
        <v/>
      </c>
      <c r="I31" s="495" t="n"/>
      <c r="J31" s="496" t="n"/>
      <c r="L31" s="418">
        <f>"This calibration was performed with Portable Vibration Calibrator: " &amp;CHAR(10) &amp;"       M/N: " &amp;LINRaw!D3&amp;", S/N: " &amp;LINRaw!E3&amp;", Firmware version "&amp;LINRaw!F3&amp;"."</f>
        <v/>
      </c>
      <c r="AC31" s="40" t="n"/>
    </row>
    <row r="32" ht="12.95" customHeight="1" s="369">
      <c r="A32" s="4" t="n"/>
      <c r="B32" s="374">
        <f>IF(LINData!B18&lt;&gt;"",IF(LINData!C18&lt;&gt;"",LINData!B18,""),"")</f>
        <v/>
      </c>
      <c r="C32" s="495" t="n"/>
      <c r="D32" s="496" t="n"/>
      <c r="E32" s="376">
        <f>IF(LINData!B18&lt;&gt;"",IF(LINData!C18&lt;&gt;"",LINData!C18,""),"")</f>
        <v/>
      </c>
      <c r="F32" s="495" t="n"/>
      <c r="G32" s="496" t="n"/>
      <c r="H32" s="524">
        <f>IF(LINData!B18&lt;&gt;"",IF(LINData!C18&lt;&gt;"",LINData!E18,""),"")</f>
        <v/>
      </c>
      <c r="I32" s="495" t="n"/>
      <c r="J32" s="496" t="n"/>
      <c r="AC32" s="40" t="n"/>
    </row>
    <row r="33" ht="12.95" customHeight="1" s="369">
      <c r="A33" s="4" t="n"/>
      <c r="B33" s="374">
        <f>IF(LINData!B19&lt;&gt;"",IF(LINData!C19&lt;&gt;"",LINData!B19,""),"")</f>
        <v/>
      </c>
      <c r="C33" s="495" t="n"/>
      <c r="D33" s="496" t="n"/>
      <c r="E33" s="376">
        <f>IF(LINData!B19&lt;&gt;"",IF(LINData!C19&lt;&gt;"",LINData!C19,""),"")</f>
        <v/>
      </c>
      <c r="F33" s="495" t="n"/>
      <c r="G33" s="496" t="n"/>
      <c r="H33" s="524">
        <f>IF(LINData!B19&lt;&gt;"",IF(LINData!C19&lt;&gt;"",LINData!E19,""),"")</f>
        <v/>
      </c>
      <c r="I33" s="495" t="n"/>
      <c r="J33" s="496" t="n"/>
      <c r="L33" s="386" t="inlineStr">
        <is>
          <t>Back-to-Back Comparison per ISO 16063-22</t>
        </is>
      </c>
      <c r="M33" s="358" t="n"/>
      <c r="N33" s="358" t="n"/>
      <c r="O33" s="358" t="n"/>
      <c r="P33" s="358" t="n"/>
      <c r="Q33" s="358" t="n"/>
      <c r="R33" s="358" t="n"/>
      <c r="S33" s="358" t="n"/>
      <c r="T33" s="358" t="n"/>
      <c r="U33" s="358" t="n"/>
      <c r="V33" s="358" t="n"/>
      <c r="W33" s="358" t="n"/>
      <c r="X33" s="358" t="n"/>
      <c r="Y33" s="358" t="n"/>
      <c r="Z33" s="358" t="n"/>
      <c r="AA33" s="358" t="n"/>
      <c r="AB33" s="358" t="n"/>
      <c r="AC33" s="519" t="n"/>
    </row>
    <row r="34" ht="12.95" customHeight="1" s="369">
      <c r="A34" s="4" t="n"/>
      <c r="B34" s="374">
        <f>IF(LINData!B20&lt;&gt;"",IF(LINData!C20&lt;&gt;"",LINData!B20,""),"")</f>
        <v/>
      </c>
      <c r="C34" s="495" t="n"/>
      <c r="D34" s="496" t="n"/>
      <c r="E34" s="376">
        <f>IF(LINData!B20&lt;&gt;"",IF(LINData!C20&lt;&gt;"",LINData!C20,""),"")</f>
        <v/>
      </c>
      <c r="F34" s="495" t="n"/>
      <c r="G34" s="496" t="n"/>
      <c r="H34" s="524">
        <f>IF(LINData!B20&lt;&gt;"",IF(LINData!C20&lt;&gt;"",LINData!E20,""),"")</f>
        <v/>
      </c>
      <c r="I34" s="495" t="n"/>
      <c r="J34" s="496" t="n"/>
      <c r="L34" s="386" t="n"/>
      <c r="M34" s="358" t="n"/>
      <c r="N34" s="358" t="n"/>
      <c r="O34" s="358" t="n"/>
      <c r="P34" s="358" t="n"/>
      <c r="Q34" s="358" t="n"/>
      <c r="R34" s="358" t="n"/>
      <c r="S34" s="358" t="n"/>
      <c r="T34" s="358" t="n"/>
      <c r="U34" s="358" t="n"/>
      <c r="V34" s="358" t="n"/>
      <c r="W34" s="358" t="n"/>
      <c r="X34" s="358" t="n"/>
      <c r="Y34" s="358" t="n"/>
      <c r="Z34" s="358" t="n"/>
      <c r="AA34" s="358" t="n"/>
      <c r="AB34" s="358" t="n"/>
      <c r="AC34" s="519" t="n"/>
    </row>
    <row r="35" ht="12.95" customHeight="1" s="369">
      <c r="A35" s="4" t="n"/>
      <c r="B35" s="374">
        <f>IF(LINData!B21&lt;&gt;"",IF(LINData!C21&lt;&gt;"",LINData!B21,""),"")</f>
        <v/>
      </c>
      <c r="C35" s="495" t="n"/>
      <c r="D35" s="496" t="n"/>
      <c r="E35" s="376">
        <f>IF(LINData!B21&lt;&gt;"",IF(LINData!C21&lt;&gt;"",LINData!C21,""),"")</f>
        <v/>
      </c>
      <c r="F35" s="495" t="n"/>
      <c r="G35" s="496" t="n"/>
      <c r="H35" s="524">
        <f>IF(LINData!B21&lt;&gt;"",IF(LINData!C21&lt;&gt;"",LINData!E21,""),"")</f>
        <v/>
      </c>
      <c r="I35" s="495" t="n"/>
      <c r="J35" s="496" t="n"/>
      <c r="L35" s="386" t="n"/>
      <c r="M35" s="358" t="n"/>
      <c r="N35" s="358" t="n"/>
      <c r="O35" s="358" t="n"/>
      <c r="P35" s="358" t="n"/>
      <c r="Q35" s="358" t="n"/>
      <c r="R35" s="358" t="n"/>
      <c r="S35" s="358" t="n"/>
      <c r="T35" s="358" t="n"/>
      <c r="U35" s="358" t="n"/>
      <c r="V35" s="358" t="n"/>
      <c r="W35" s="358" t="n"/>
      <c r="X35" s="358" t="n"/>
      <c r="Y35" s="358" t="n"/>
      <c r="Z35" s="358" t="n"/>
      <c r="AA35" s="358" t="n"/>
      <c r="AB35" s="358" t="n"/>
      <c r="AC35" s="519" t="n"/>
    </row>
    <row r="36" ht="12.95" customHeight="1" s="369">
      <c r="A36" s="4" t="n"/>
      <c r="B36" s="374">
        <f>IF(LINData!B22&lt;&gt;"",IF(LINData!C22&lt;&gt;"",LINData!B22,""),"")</f>
        <v/>
      </c>
      <c r="C36" s="495" t="n"/>
      <c r="D36" s="496" t="n"/>
      <c r="E36" s="376">
        <f>IF(LINData!B22&lt;&gt;"",IF(LINData!C22&lt;&gt;"",LINData!C22,""),"")</f>
        <v/>
      </c>
      <c r="F36" s="495" t="n"/>
      <c r="G36" s="496" t="n"/>
      <c r="H36" s="524">
        <f>IF(LINData!B22&lt;&gt;"",IF(LINData!C22&lt;&gt;"",LINData!E22,""),"")</f>
        <v/>
      </c>
      <c r="I36" s="495" t="n"/>
      <c r="J36" s="496" t="n"/>
      <c r="L36" s="365" t="inlineStr">
        <is>
          <t>User Notes</t>
        </is>
      </c>
      <c r="O36" s="388">
        <f>IF(LINRaw!$D$5="","",LINRaw!$D$5)</f>
        <v/>
      </c>
      <c r="AC36" s="40" t="n"/>
    </row>
    <row r="37" ht="12.95" customHeight="1" s="369">
      <c r="A37" s="4" t="n"/>
      <c r="B37" s="374">
        <f>IF(LINData!B23&lt;&gt;"",IF(LINData!C23&lt;&gt;"",LINData!B23,""),"")</f>
        <v/>
      </c>
      <c r="C37" s="495" t="n"/>
      <c r="D37" s="496" t="n"/>
      <c r="E37" s="376">
        <f>IF(LINData!B23&lt;&gt;"",IF(LINData!C23&lt;&gt;"",LINData!C23,""),"")</f>
        <v/>
      </c>
      <c r="F37" s="495" t="n"/>
      <c r="G37" s="496" t="n"/>
      <c r="H37" s="524">
        <f>IF(LINData!B23&lt;&gt;"",IF(LINData!C23&lt;&gt;"",LINData!E23,""),"")</f>
        <v/>
      </c>
      <c r="I37" s="495" t="n"/>
      <c r="J37" s="496" t="n"/>
      <c r="L37" s="365" t="n"/>
      <c r="O37" s="380" t="n"/>
      <c r="P37" s="358" t="n"/>
      <c r="Q37" s="358" t="n"/>
      <c r="R37" s="358" t="n"/>
      <c r="S37" s="358" t="n"/>
      <c r="T37" s="358" t="n"/>
      <c r="U37" s="358" t="n"/>
      <c r="V37" s="358" t="n"/>
      <c r="W37" s="358" t="n"/>
      <c r="X37" s="358" t="n"/>
      <c r="Y37" s="358" t="n"/>
      <c r="Z37" s="358" t="n"/>
      <c r="AA37" s="358" t="n"/>
      <c r="AB37" s="358" t="n"/>
      <c r="AC37" s="519" t="n"/>
    </row>
    <row r="38" ht="12.95" customHeight="1" s="369">
      <c r="A38" s="4" t="n"/>
      <c r="B38" s="374">
        <f>IF(LINData!B24&lt;&gt;"",IF(LINData!C24&lt;&gt;"",LINData!B24,""),"")</f>
        <v/>
      </c>
      <c r="C38" s="495" t="n"/>
      <c r="D38" s="496" t="n"/>
      <c r="E38" s="376">
        <f>IF(LINData!B24&lt;&gt;"",IF(LINData!C24&lt;&gt;"",LINData!C24,""),"")</f>
        <v/>
      </c>
      <c r="F38" s="495" t="n"/>
      <c r="G38" s="496" t="n"/>
      <c r="H38" s="524">
        <f>IF(LINData!B24&lt;&gt;"",IF(LINData!C24&lt;&gt;"",LINData!E24,""),"")</f>
        <v/>
      </c>
      <c r="I38" s="495" t="n"/>
      <c r="J38" s="496" t="n"/>
      <c r="L38" s="365" t="n"/>
      <c r="O38" s="380" t="n"/>
      <c r="P38" s="358" t="n"/>
      <c r="Q38" s="358" t="n"/>
      <c r="R38" s="358" t="n"/>
      <c r="S38" s="358" t="n"/>
      <c r="T38" s="358" t="n"/>
      <c r="U38" s="358" t="n"/>
      <c r="V38" s="358" t="n"/>
      <c r="W38" s="358" t="n"/>
      <c r="X38" s="358" t="n"/>
      <c r="Y38" s="358" t="n"/>
      <c r="Z38" s="358" t="n"/>
      <c r="AA38" s="358" t="n"/>
      <c r="AB38" s="358" t="n"/>
      <c r="AC38" s="519" t="n"/>
    </row>
    <row r="39" ht="12.95" customHeight="1" s="369">
      <c r="A39" s="28" t="n"/>
      <c r="B39" s="374">
        <f>IF(LINData!B25&lt;&gt;"",IF(LINData!C25&lt;&gt;"",LINData!B25,""),"")</f>
        <v/>
      </c>
      <c r="C39" s="495" t="n"/>
      <c r="D39" s="496" t="n"/>
      <c r="E39" s="376">
        <f>IF(LINData!B25&lt;&gt;"",IF(LINData!C25&lt;&gt;"",LINData!C25,""),"")</f>
        <v/>
      </c>
      <c r="F39" s="495" t="n"/>
      <c r="G39" s="496" t="n"/>
      <c r="H39" s="524">
        <f>IF(LINData!B25&lt;&gt;"",IF(LINData!C25&lt;&gt;"",LINData!E25,""),"")</f>
        <v/>
      </c>
      <c r="I39" s="495" t="n"/>
      <c r="J39" s="496" t="n"/>
      <c r="L39" s="365" t="n"/>
      <c r="O39" s="380" t="n"/>
      <c r="P39" s="358" t="n"/>
      <c r="Q39" s="358" t="n"/>
      <c r="R39" s="358" t="n"/>
      <c r="S39" s="358" t="n"/>
      <c r="T39" s="358" t="n"/>
      <c r="U39" s="358" t="n"/>
      <c r="V39" s="358" t="n"/>
      <c r="W39" s="358" t="n"/>
      <c r="X39" s="358" t="n"/>
      <c r="Y39" s="358" t="n"/>
      <c r="Z39" s="358" t="n"/>
      <c r="AA39" s="358" t="n"/>
      <c r="AB39" s="358" t="n"/>
      <c r="AC39" s="519" t="n"/>
    </row>
    <row r="40" ht="12.95" customHeight="1" s="369">
      <c r="A40" s="29" t="n"/>
      <c r="B40" s="374">
        <f>IF(LINData!B26&lt;&gt;"",IF(LINData!C26&lt;&gt;"",LINData!B26,""),"")</f>
        <v/>
      </c>
      <c r="C40" s="495" t="n"/>
      <c r="D40" s="496" t="n"/>
      <c r="E40" s="376">
        <f>IF(LINData!B26&lt;&gt;"",IF(LINData!C26&lt;&gt;"",LINData!C26,""),"")</f>
        <v/>
      </c>
      <c r="F40" s="495" t="n"/>
      <c r="G40" s="496" t="n"/>
      <c r="H40" s="524">
        <f>IF(LINData!B26&lt;&gt;"",IF(LINData!C26&lt;&gt;"",LINData!E26,""),"")</f>
        <v/>
      </c>
      <c r="I40" s="495" t="n"/>
      <c r="J40" s="496" t="n"/>
      <c r="L40" s="365" t="n"/>
      <c r="O40" s="380" t="n"/>
      <c r="P40" s="358" t="n"/>
      <c r="Q40" s="358" t="n"/>
      <c r="R40" s="358" t="n"/>
      <c r="S40" s="358" t="n"/>
      <c r="T40" s="358" t="n"/>
      <c r="U40" s="358" t="n"/>
      <c r="V40" s="358" t="n"/>
      <c r="W40" s="358" t="n"/>
      <c r="X40" s="358" t="n"/>
      <c r="Y40" s="358" t="n"/>
      <c r="Z40" s="358" t="n"/>
      <c r="AA40" s="358" t="n"/>
      <c r="AB40" s="358" t="n"/>
      <c r="AC40" s="519" t="n"/>
    </row>
    <row r="41" ht="12.95" customHeight="1" s="369">
      <c r="A41" s="4" t="n"/>
      <c r="B41" s="374">
        <f>IF(LINData!B27&lt;&gt;"",IF(LINData!C27&lt;&gt;"",LINData!B27,""),"")</f>
        <v/>
      </c>
      <c r="C41" s="495" t="n"/>
      <c r="D41" s="496" t="n"/>
      <c r="E41" s="376">
        <f>IF(LINData!B27&lt;&gt;"",IF(LINData!C27&lt;&gt;"",LINData!C27,""),"")</f>
        <v/>
      </c>
      <c r="F41" s="495" t="n"/>
      <c r="G41" s="496" t="n"/>
      <c r="H41" s="524">
        <f>IF(LINData!B27&lt;&gt;"",IF(LINData!C27&lt;&gt;"",LINData!E27,""),"")</f>
        <v/>
      </c>
      <c r="I41" s="495" t="n"/>
      <c r="J41" s="496" t="n"/>
      <c r="L41" s="373" t="inlineStr">
        <is>
          <t>Customer</t>
        </is>
      </c>
      <c r="O41" s="380" t="n"/>
      <c r="P41" s="358" t="n"/>
      <c r="Q41" s="358" t="n"/>
      <c r="R41" s="358" t="n"/>
      <c r="S41" s="358" t="n"/>
      <c r="T41" s="358" t="n"/>
      <c r="U41" s="358" t="n"/>
      <c r="V41" s="358" t="n"/>
      <c r="W41" s="358" t="n"/>
      <c r="X41" s="358" t="n"/>
      <c r="Y41" s="358" t="n"/>
      <c r="Z41" s="358" t="n"/>
      <c r="AA41" s="358" t="n"/>
      <c r="AB41" s="358" t="n"/>
      <c r="AC41" s="519" t="n"/>
    </row>
    <row r="42" ht="12.95" customHeight="1" s="369">
      <c r="A42" s="4" t="n"/>
      <c r="B42" s="374">
        <f>IF(LINData!B28&lt;&gt;"",IF(LINData!C28&lt;&gt;"",LINData!B28,""),"")</f>
        <v/>
      </c>
      <c r="C42" s="495" t="n"/>
      <c r="D42" s="496" t="n"/>
      <c r="E42" s="376">
        <f>IF(LINData!B28&lt;&gt;"",IF(LINData!C28&lt;&gt;"",LINData!C28,""),"")</f>
        <v/>
      </c>
      <c r="F42" s="495" t="n"/>
      <c r="G42" s="496" t="n"/>
      <c r="H42" s="524">
        <f>IF(LINData!B28&lt;&gt;"",IF(LINData!C28&lt;&gt;"",LINData!E28,""),"")</f>
        <v/>
      </c>
      <c r="I42" s="495" t="n"/>
      <c r="J42" s="496" t="n"/>
      <c r="L42" s="365" t="n"/>
      <c r="O42" s="380" t="n"/>
      <c r="P42" s="358" t="n"/>
      <c r="Q42" s="358" t="n"/>
      <c r="R42" s="358" t="n"/>
      <c r="S42" s="358" t="n"/>
      <c r="T42" s="358" t="n"/>
      <c r="U42" s="358" t="n"/>
      <c r="V42" s="358" t="n"/>
      <c r="W42" s="358" t="n"/>
      <c r="X42" s="358" t="n"/>
      <c r="Y42" s="358" t="n"/>
      <c r="Z42" s="358" t="n"/>
      <c r="AA42" s="358" t="n"/>
      <c r="AB42" s="358" t="n"/>
      <c r="AC42" s="519" t="n"/>
    </row>
    <row r="43" ht="12.95" customHeight="1" s="369">
      <c r="A43" s="4" t="n"/>
      <c r="B43" s="374">
        <f>IF(LINData!B29&lt;&gt;"",IF(LINData!C29&lt;&gt;"",LINData!B29,""),"")</f>
        <v/>
      </c>
      <c r="C43" s="495" t="n"/>
      <c r="D43" s="496" t="n"/>
      <c r="E43" s="376">
        <f>IF(LINData!B29&lt;&gt;"",IF(LINData!C29&lt;&gt;"",LINData!C29,""),"")</f>
        <v/>
      </c>
      <c r="F43" s="495" t="n"/>
      <c r="G43" s="496" t="n"/>
      <c r="H43" s="524">
        <f>IF(LINData!B29&lt;&gt;"",IF(LINData!C29&lt;&gt;"",LINData!E29,""),"")</f>
        <v/>
      </c>
      <c r="I43" s="495" t="n"/>
      <c r="J43" s="496" t="n"/>
      <c r="L43" s="365" t="n"/>
      <c r="O43" s="380" t="n"/>
      <c r="P43" s="358" t="n"/>
      <c r="Q43" s="358" t="n"/>
      <c r="R43" s="358" t="n"/>
      <c r="S43" s="358" t="n"/>
      <c r="T43" s="358" t="n"/>
      <c r="U43" s="358" t="n"/>
      <c r="V43" s="358" t="n"/>
      <c r="W43" s="358" t="n"/>
      <c r="X43" s="358" t="n"/>
      <c r="Y43" s="358" t="n"/>
      <c r="Z43" s="358" t="n"/>
      <c r="AA43" s="358" t="n"/>
      <c r="AB43" s="358" t="n"/>
      <c r="AC43" s="519" t="n"/>
    </row>
    <row r="44" ht="12.95" customHeight="1" s="369">
      <c r="A44" s="4" t="n"/>
      <c r="B44" s="374">
        <f>IF(LINData!B30&lt;&gt;"",IF(LINData!C30&lt;&gt;"",LINData!B30,""),"")</f>
        <v/>
      </c>
      <c r="C44" s="495" t="n"/>
      <c r="D44" s="496" t="n"/>
      <c r="E44" s="376">
        <f>IF(LINData!B30&lt;&gt;"",IF(LINData!C30&lt;&gt;"",LINData!C30,""),"")</f>
        <v/>
      </c>
      <c r="F44" s="495" t="n"/>
      <c r="G44" s="496" t="n"/>
      <c r="H44" s="524">
        <f>IF(LINData!B30&lt;&gt;"",IF(LINData!C30&lt;&gt;"",LINData!E30,""),"")</f>
        <v/>
      </c>
      <c r="I44" s="495" t="n"/>
      <c r="J44" s="496" t="n"/>
      <c r="L44" s="365" t="n"/>
      <c r="O44" s="380" t="n"/>
      <c r="P44" s="358" t="n"/>
      <c r="Q44" s="358" t="n"/>
      <c r="R44" s="358" t="n"/>
      <c r="S44" s="358" t="n"/>
      <c r="T44" s="358" t="n"/>
      <c r="U44" s="358" t="n"/>
      <c r="V44" s="358" t="n"/>
      <c r="W44" s="358" t="n"/>
      <c r="X44" s="358" t="n"/>
      <c r="Y44" s="358" t="n"/>
      <c r="Z44" s="358" t="n"/>
      <c r="AA44" s="358" t="n"/>
      <c r="AB44" s="358" t="n"/>
      <c r="AC44" s="519" t="n"/>
    </row>
    <row r="45" ht="12.95" customHeight="1" s="369">
      <c r="A45" s="4" t="n"/>
      <c r="B45" s="374">
        <f>IF(LINData!B31&lt;&gt;"",IF(LINData!C31&lt;&gt;"",LINData!B31,""),"")</f>
        <v/>
      </c>
      <c r="C45" s="495" t="n"/>
      <c r="D45" s="496" t="n"/>
      <c r="E45" s="376">
        <f>IF(LINData!B31&lt;&gt;"",IF(LINData!C31&lt;&gt;"",LINData!C31,""),"")</f>
        <v/>
      </c>
      <c r="F45" s="495" t="n"/>
      <c r="G45" s="496" t="n"/>
      <c r="H45" s="524">
        <f>IF(LINData!B31&lt;&gt;"",IF(LINData!C31&lt;&gt;"",LINData!E31,""),"")</f>
        <v/>
      </c>
      <c r="I45" s="495" t="n"/>
      <c r="J45" s="496" t="n"/>
      <c r="L45" s="365" t="n"/>
      <c r="O45" s="380" t="n"/>
      <c r="P45" s="358" t="n"/>
      <c r="Q45" s="358" t="n"/>
      <c r="R45" s="358" t="n"/>
      <c r="S45" s="358" t="n"/>
      <c r="T45" s="358" t="n"/>
      <c r="U45" s="358" t="n"/>
      <c r="V45" s="358" t="n"/>
      <c r="W45" s="358" t="n"/>
      <c r="X45" s="358" t="n"/>
      <c r="Y45" s="358" t="n"/>
      <c r="Z45" s="358" t="n"/>
      <c r="AA45" s="358" t="n"/>
      <c r="AB45" s="358" t="n"/>
      <c r="AC45" s="519" t="n"/>
    </row>
    <row r="46" ht="12.95" customHeight="1" s="369">
      <c r="A46" s="4" t="n"/>
      <c r="B46" s="374">
        <f>IF(LINData!B32&lt;&gt;"",IF(LINData!C32&lt;&gt;"",LINData!B32,""),"")</f>
        <v/>
      </c>
      <c r="C46" s="495" t="n"/>
      <c r="D46" s="496" t="n"/>
      <c r="E46" s="376">
        <f>IF(LINData!B32&lt;&gt;"",IF(LINData!C32&lt;&gt;"",LINData!C32,""),"")</f>
        <v/>
      </c>
      <c r="F46" s="495" t="n"/>
      <c r="G46" s="496" t="n"/>
      <c r="H46" s="524">
        <f>IF(LINData!B32&lt;&gt;"",IF(LINData!C32&lt;&gt;"",LINData!E32,""),"")</f>
        <v/>
      </c>
      <c r="I46" s="495" t="n"/>
      <c r="J46" s="496" t="n"/>
      <c r="L46" s="365" t="n"/>
      <c r="O46" s="380" t="n"/>
      <c r="P46" s="358" t="n"/>
      <c r="Q46" s="358" t="n"/>
      <c r="R46" s="358" t="n"/>
      <c r="S46" s="358" t="n"/>
      <c r="T46" s="358" t="n"/>
      <c r="U46" s="358" t="n"/>
      <c r="V46" s="358" t="n"/>
      <c r="W46" s="358" t="n"/>
      <c r="X46" s="358" t="n"/>
      <c r="Y46" s="358" t="n"/>
      <c r="Z46" s="358" t="n"/>
      <c r="AA46" s="358" t="n"/>
      <c r="AB46" s="358" t="n"/>
      <c r="AC46" s="519" t="n"/>
    </row>
    <row r="47" ht="12.95" customHeight="1" s="369">
      <c r="A47" s="4" t="n"/>
      <c r="B47" s="374">
        <f>IF(LINData!B33&lt;&gt;"",IF(LINData!C33&lt;&gt;"",LINData!B33,""),"")</f>
        <v/>
      </c>
      <c r="C47" s="495" t="n"/>
      <c r="D47" s="496" t="n"/>
      <c r="E47" s="376">
        <f>IF(LINData!B33&lt;&gt;"",IF(LINData!C33&lt;&gt;"",LINData!C33,""),"")</f>
        <v/>
      </c>
      <c r="F47" s="495" t="n"/>
      <c r="G47" s="496" t="n"/>
      <c r="H47" s="524">
        <f>IF(LINData!B33&lt;&gt;"",IF(LINData!C33&lt;&gt;"",LINData!E33,""),"")</f>
        <v/>
      </c>
      <c r="I47" s="495" t="n"/>
      <c r="J47" s="496" t="n"/>
      <c r="L47" s="492" t="inlineStr">
        <is>
          <t>Unit Condition</t>
        </is>
      </c>
      <c r="U47" s="492" t="inlineStr">
        <is>
          <t>Lab Conditions</t>
        </is>
      </c>
      <c r="AC47" s="5" t="n"/>
    </row>
    <row r="48" ht="12.95" customHeight="1" s="369">
      <c r="A48" s="4" t="n"/>
      <c r="B48" s="374">
        <f>IF(LINData!B34&lt;&gt;"",IF(LINData!C34&lt;&gt;"",LINData!B34,""),"")</f>
        <v/>
      </c>
      <c r="C48" s="495" t="n"/>
      <c r="D48" s="496" t="n"/>
      <c r="E48" s="376">
        <f>IF(LINData!B34&lt;&gt;"",IF(LINData!C34&lt;&gt;"",LINData!C34,""),"")</f>
        <v/>
      </c>
      <c r="F48" s="495" t="n"/>
      <c r="G48" s="496" t="n"/>
      <c r="H48" s="524">
        <f>IF(LINData!B34&lt;&gt;"",IF(LINData!C34&lt;&gt;"",LINData!E34,""),"")</f>
        <v/>
      </c>
      <c r="I48" s="495" t="n"/>
      <c r="J48" s="496" t="n"/>
      <c r="L48" s="21" t="inlineStr">
        <is>
          <t>As Found:</t>
        </is>
      </c>
      <c r="O48" s="53" t="n"/>
      <c r="P48" s="53" t="n"/>
      <c r="Q48" s="431" t="n"/>
      <c r="R48" s="431" t="n"/>
      <c r="S48" s="431" t="n"/>
      <c r="T48" s="431" t="n"/>
      <c r="U48" s="401" t="inlineStr">
        <is>
          <t>Temperature:</t>
        </is>
      </c>
      <c r="Y48" s="390" t="n"/>
      <c r="Z48" s="358" t="n"/>
      <c r="AA48" s="51" t="inlineStr">
        <is>
          <t>°C</t>
        </is>
      </c>
      <c r="AC48" s="5" t="n"/>
    </row>
    <row r="49" ht="12.95" customHeight="1" s="369">
      <c r="A49" s="4" t="n"/>
      <c r="B49" s="374">
        <f>IF(LINData!B35&lt;&gt;"",IF(LINData!C35&lt;&gt;"",LINData!B35,""),"")</f>
        <v/>
      </c>
      <c r="C49" s="495" t="n"/>
      <c r="D49" s="496" t="n"/>
      <c r="E49" s="376">
        <f>IF(LINData!B35&lt;&gt;"",IF(LINData!C35&lt;&gt;"",LINData!C35,""),"")</f>
        <v/>
      </c>
      <c r="F49" s="495" t="n"/>
      <c r="G49" s="496" t="n"/>
      <c r="H49" s="524">
        <f>IF(LINData!B35&lt;&gt;"",IF(LINData!C35&lt;&gt;"",LINData!E35,""),"")</f>
        <v/>
      </c>
      <c r="I49" s="495" t="n"/>
      <c r="J49" s="496" t="n"/>
      <c r="L49" s="401" t="inlineStr">
        <is>
          <t>As Left:</t>
        </is>
      </c>
      <c r="M49" s="401" t="n"/>
      <c r="N49" s="401" t="n"/>
      <c r="O49" s="431" t="n"/>
      <c r="P49" s="431" t="n"/>
      <c r="Q49" s="431" t="n"/>
      <c r="R49" s="431" t="n"/>
      <c r="S49" s="431" t="n"/>
      <c r="T49" s="431" t="n"/>
      <c r="U49" s="21" t="n"/>
      <c r="V49" s="21" t="n"/>
      <c r="W49" s="21" t="n"/>
      <c r="X49" s="21" t="n"/>
      <c r="Y49" s="395" t="n"/>
      <c r="Z49" s="395" t="n"/>
      <c r="AA49" s="21" t="n"/>
      <c r="AC49" s="5" t="n"/>
    </row>
    <row r="50" ht="12.95" customHeight="1" s="369">
      <c r="A50" s="4" t="n"/>
      <c r="B50" s="374">
        <f>IF(LINData!B36&lt;&gt;"",IF(LINData!C36&lt;&gt;"",LINData!B36,""),"")</f>
        <v/>
      </c>
      <c r="C50" s="495" t="n"/>
      <c r="D50" s="496" t="n"/>
      <c r="E50" s="376">
        <f>IF(LINData!B36&lt;&gt;"",IF(LINData!C36&lt;&gt;"",LINData!C36,""),"")</f>
        <v/>
      </c>
      <c r="F50" s="495" t="n"/>
      <c r="G50" s="496" t="n"/>
      <c r="H50" s="524">
        <f>IF(LINData!B36&lt;&gt;"",IF(LINData!C36&lt;&gt;"",LINData!E36,""),"")</f>
        <v/>
      </c>
      <c r="I50" s="495" t="n"/>
      <c r="J50" s="496" t="n"/>
      <c r="U50" s="401" t="inlineStr">
        <is>
          <t>Humidity:</t>
        </is>
      </c>
      <c r="V50" s="401" t="n"/>
      <c r="W50" s="401" t="n"/>
      <c r="X50" s="401" t="n"/>
      <c r="Y50" s="454" t="n"/>
      <c r="Z50" s="390" t="n"/>
      <c r="AA50" s="51" t="inlineStr">
        <is>
          <t>%</t>
        </is>
      </c>
      <c r="AC50" s="5" t="n"/>
    </row>
    <row r="51" ht="12.95" customHeight="1" s="369">
      <c r="A51" s="4" t="n"/>
      <c r="B51" s="374">
        <f>IF(LINData!B37&lt;&gt;"",IF(LINData!C37&lt;&gt;"",LINData!B37,""),"")</f>
        <v/>
      </c>
      <c r="C51" s="495" t="n"/>
      <c r="D51" s="496" t="n"/>
      <c r="E51" s="376">
        <f>IF(LINData!B37&lt;&gt;"",IF(LINData!C37&lt;&gt;"",LINData!C37,""),"")</f>
        <v/>
      </c>
      <c r="F51" s="495" t="n"/>
      <c r="G51" s="496" t="n"/>
      <c r="H51" s="524">
        <f>IF(LINData!B37&lt;&gt;"",IF(LINData!C37&lt;&gt;"",LINData!E37,""),"")</f>
        <v/>
      </c>
      <c r="I51" s="495" t="n"/>
      <c r="J51" s="496" t="n"/>
      <c r="AC51" s="5" t="n"/>
    </row>
    <row r="52" ht="12.95" customHeight="1" s="369">
      <c r="A52" s="4" t="n"/>
      <c r="B52" s="374">
        <f>IF(LINData!B38&lt;&gt;"",IF(LINData!C38&lt;&gt;"",LINData!B38,""),"")</f>
        <v/>
      </c>
      <c r="C52" s="495" t="n"/>
      <c r="D52" s="496" t="n"/>
      <c r="E52" s="376">
        <f>IF(LINData!B38&lt;&gt;"",IF(LINData!C38&lt;&gt;"",LINData!C38,""),"")</f>
        <v/>
      </c>
      <c r="F52" s="495" t="n"/>
      <c r="G52" s="496" t="n"/>
      <c r="H52" s="524">
        <f>IF(LINData!B38&lt;&gt;"",IF(LINData!C38&lt;&gt;"",LINData!E38,""),"")</f>
        <v/>
      </c>
      <c r="I52" s="495" t="n"/>
      <c r="J52" s="496" t="n"/>
      <c r="AC52" s="5" t="n"/>
    </row>
    <row r="53" ht="12.95" customHeight="1" s="369">
      <c r="A53" s="4" t="n"/>
      <c r="B53" s="374">
        <f>IF(LINData!B39&lt;&gt;"",IF(LINData!C39&lt;&gt;"",LINData!B39,""),"")</f>
        <v/>
      </c>
      <c r="C53" s="495" t="n"/>
      <c r="D53" s="496" t="n"/>
      <c r="E53" s="376">
        <f>IF(LINData!B39&lt;&gt;"",IF(LINData!C39&lt;&gt;"",LINData!C39,""),"")</f>
        <v/>
      </c>
      <c r="F53" s="495" t="n"/>
      <c r="G53" s="496" t="n"/>
      <c r="H53" s="524">
        <f>IF(LINData!B39&lt;&gt;"",IF(LINData!C39&lt;&gt;"",LINData!E39,""),"")</f>
        <v/>
      </c>
      <c r="I53" s="495" t="n"/>
      <c r="J53" s="496" t="n"/>
      <c r="AC53" s="5" t="n"/>
    </row>
    <row r="54" ht="12.95" customHeight="1" s="369">
      <c r="A54" s="4" t="n"/>
      <c r="B54" s="374">
        <f>IF(LINData!B40&lt;&gt;"",IF(LINData!C40&lt;&gt;"",LINData!B40,""),"")</f>
        <v/>
      </c>
      <c r="C54" s="495" t="n"/>
      <c r="D54" s="496" t="n"/>
      <c r="E54" s="376">
        <f>IF(LINData!B40&lt;&gt;"",IF(LINData!C40&lt;&gt;"",LINData!C40,""),"")</f>
        <v/>
      </c>
      <c r="F54" s="495" t="n"/>
      <c r="G54" s="496" t="n"/>
      <c r="H54" s="524">
        <f>IF(LINData!B40&lt;&gt;"",IF(LINData!C40&lt;&gt;"",LINData!E40,""),"")</f>
        <v/>
      </c>
      <c r="I54" s="495" t="n"/>
      <c r="J54" s="496" t="n"/>
      <c r="L54" s="492" t="inlineStr">
        <is>
          <t>Approval Information</t>
        </is>
      </c>
      <c r="AC54" s="5" t="n"/>
    </row>
    <row r="55" ht="12.95" customHeight="1" s="369">
      <c r="A55" s="4" t="n"/>
      <c r="B55" s="374">
        <f>IF(LINData!B41&lt;&gt;"",IF(LINData!C41&lt;&gt;"",LINData!B41,""),"")</f>
        <v/>
      </c>
      <c r="C55" s="495" t="n"/>
      <c r="D55" s="496" t="n"/>
      <c r="E55" s="376">
        <f>IF(LINData!B41&lt;&gt;"",IF(LINData!C41&lt;&gt;"",LINData!C41,""),"")</f>
        <v/>
      </c>
      <c r="F55" s="495" t="n"/>
      <c r="G55" s="496" t="n"/>
      <c r="H55" s="524">
        <f>IF(LINData!B41&lt;&gt;"",IF(LINData!C41&lt;&gt;"",LINData!E41,""),"")</f>
        <v/>
      </c>
      <c r="I55" s="495" t="n"/>
      <c r="J55" s="496" t="n"/>
      <c r="L55" s="429" t="inlineStr">
        <is>
          <t>Technician:</t>
        </is>
      </c>
      <c r="O55" s="423" t="n"/>
      <c r="P55" s="358" t="n"/>
      <c r="Q55" s="358" t="n"/>
      <c r="R55" s="358" t="n"/>
      <c r="S55" s="358" t="n"/>
      <c r="T55" s="358" t="n"/>
      <c r="U55" s="414" t="inlineStr">
        <is>
          <t>Calibration Date:</t>
        </is>
      </c>
      <c r="Y55" s="416">
        <f>LINRaw!B3</f>
        <v/>
      </c>
      <c r="AC55" s="40" t="n"/>
    </row>
    <row r="56">
      <c r="A56" s="4" t="n"/>
      <c r="B56" s="374">
        <f>IF(LINData!B42&lt;&gt;"",IF(LINData!C42&lt;&gt;"",LINData!B42,""),"")</f>
        <v/>
      </c>
      <c r="C56" s="495" t="n"/>
      <c r="D56" s="496" t="n"/>
      <c r="E56" s="376">
        <f>IF(LINData!B42&lt;&gt;"",IF(LINData!C42&lt;&gt;"",LINData!C42,""),"")</f>
        <v/>
      </c>
      <c r="F56" s="495" t="n"/>
      <c r="G56" s="496" t="n"/>
      <c r="H56" s="524">
        <f>IF(LINData!B42&lt;&gt;"",IF(LINData!C42&lt;&gt;"",LINData!E42,""),"")</f>
        <v/>
      </c>
      <c r="I56" s="495" t="n"/>
      <c r="J56" s="496" t="n"/>
      <c r="L56" s="429" t="inlineStr">
        <is>
          <t>Approval:</t>
        </is>
      </c>
      <c r="O56" s="423" t="n"/>
      <c r="P56" s="358" t="n"/>
      <c r="Q56" s="358" t="n"/>
      <c r="R56" s="358" t="n"/>
      <c r="S56" s="358" t="n"/>
      <c r="T56" s="358" t="n"/>
      <c r="U56" s="414" t="inlineStr">
        <is>
          <t>Calibration Time:</t>
        </is>
      </c>
      <c r="Y56" s="420">
        <f>LINRaw!C3</f>
        <v/>
      </c>
      <c r="AC56" s="40" t="n"/>
    </row>
    <row r="57" ht="13.5" customHeight="1" s="369" thickBot="1">
      <c r="A57" s="4" t="n"/>
      <c r="B57" s="424">
        <f>IF(LINData!B43&lt;&gt;"",IF(LINData!C43&lt;&gt;"",LINData!B43,""),"")</f>
        <v/>
      </c>
      <c r="C57" s="525" t="n"/>
      <c r="D57" s="526" t="n"/>
      <c r="E57" s="426">
        <f>IF(LINData!B43&lt;&gt;"",IF(LINData!C43&lt;&gt;"",LINData!C43,""),"")</f>
        <v/>
      </c>
      <c r="F57" s="525" t="n"/>
      <c r="G57" s="526" t="n"/>
      <c r="H57" s="527">
        <f>IF(LINData!B43&lt;&gt;"",IF(LINData!C43&lt;&gt;"",LINData!E43,""),"")</f>
        <v/>
      </c>
      <c r="I57" s="525" t="n"/>
      <c r="J57" s="526" t="n"/>
      <c r="L57" s="26" t="n"/>
      <c r="M57" s="26" t="n"/>
      <c r="N57" s="26" t="n"/>
      <c r="O57" s="26" t="n"/>
      <c r="P57" s="26" t="n"/>
      <c r="Q57" s="26" t="n"/>
      <c r="R57" s="26" t="n"/>
      <c r="S57" s="26" t="n"/>
      <c r="T57" s="26" t="n"/>
      <c r="U57" s="414" t="inlineStr">
        <is>
          <t>Due Date:</t>
        </is>
      </c>
      <c r="Y57" s="422" t="n"/>
      <c r="Z57" s="358" t="n"/>
      <c r="AA57" s="358" t="n"/>
      <c r="AB57" s="358" t="n"/>
      <c r="AC57" s="519" t="n"/>
    </row>
    <row r="58" ht="13.5" customHeight="1" s="369" thickBot="1">
      <c r="A58" s="12"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4" t="n"/>
    </row>
  </sheetData>
  <sheetProtection selectLockedCells="1" selectUnlockedCells="0" algorithmName="SHA-512" sheet="1" objects="0" insertRows="1" insertHyperlinks="1" autoFilter="1" scenarios="0" formatColumns="1" deleteColumns="1" insertColumns="1" pivotTables="1" deleteRows="1" formatCells="0" saltValue="xqJX99Lx2TSYbHv9SIuQdw==" formatRows="1" sort="1" spinCount="100000" hashValue="sZMnHQnf3UiRyfYr2kzpSxy8GJPlgbdn8EgLLf4Fol1m2uf8HimrGUTdjLpVlYgq6JX/sLHfJtOfj3U8Cjt9AA=="/>
  <mergeCells count="179">
    <mergeCell ref="B42:D42"/>
    <mergeCell ref="L42:N42"/>
    <mergeCell ref="B57:D57"/>
    <mergeCell ref="E31:G31"/>
    <mergeCell ref="E40:G40"/>
    <mergeCell ref="AB5:AC5"/>
    <mergeCell ref="B53:D53"/>
    <mergeCell ref="B44:D44"/>
    <mergeCell ref="E5:I5"/>
    <mergeCell ref="B34:D34"/>
    <mergeCell ref="B28:D28"/>
    <mergeCell ref="B37:D37"/>
    <mergeCell ref="O46:AC46"/>
    <mergeCell ref="E57:G57"/>
    <mergeCell ref="B30:D30"/>
    <mergeCell ref="B6:D6"/>
    <mergeCell ref="L46:N46"/>
    <mergeCell ref="R5:T5"/>
    <mergeCell ref="H30:J30"/>
    <mergeCell ref="Y8:AA8"/>
    <mergeCell ref="A2:AC2"/>
    <mergeCell ref="H29:J29"/>
    <mergeCell ref="B54:D54"/>
    <mergeCell ref="H38:J38"/>
    <mergeCell ref="E42:G42"/>
    <mergeCell ref="AB7:AC7"/>
    <mergeCell ref="E7:I7"/>
    <mergeCell ref="U57:X57"/>
    <mergeCell ref="H44:J44"/>
    <mergeCell ref="O9:Q9"/>
    <mergeCell ref="H31:J31"/>
    <mergeCell ref="B56:D56"/>
    <mergeCell ref="E35:G35"/>
    <mergeCell ref="H40:J40"/>
    <mergeCell ref="B43:D43"/>
    <mergeCell ref="E44:G44"/>
    <mergeCell ref="A11:AC25"/>
    <mergeCell ref="H51:J51"/>
    <mergeCell ref="O5:Q5"/>
    <mergeCell ref="Y5:AA5"/>
    <mergeCell ref="E28:G28"/>
    <mergeCell ref="B8:D8"/>
    <mergeCell ref="O41:AC41"/>
    <mergeCell ref="E30:G30"/>
    <mergeCell ref="Y55:AC55"/>
    <mergeCell ref="L30:AC30"/>
    <mergeCell ref="O55:T55"/>
    <mergeCell ref="E46:G46"/>
    <mergeCell ref="B26:E26"/>
    <mergeCell ref="Y6:AA6"/>
    <mergeCell ref="O43:AC43"/>
    <mergeCell ref="L41:N41"/>
    <mergeCell ref="L29:AC29"/>
    <mergeCell ref="H57:J57"/>
    <mergeCell ref="H27:J27"/>
    <mergeCell ref="O42:AC42"/>
    <mergeCell ref="E54:G54"/>
    <mergeCell ref="H33:J33"/>
    <mergeCell ref="E32:G32"/>
    <mergeCell ref="B36:D36"/>
    <mergeCell ref="E41:G41"/>
    <mergeCell ref="H42:J42"/>
    <mergeCell ref="B5:D5"/>
    <mergeCell ref="B45:D45"/>
    <mergeCell ref="E6:I6"/>
    <mergeCell ref="L36:N36"/>
    <mergeCell ref="J7:N7"/>
    <mergeCell ref="E47:G47"/>
    <mergeCell ref="R9:T9"/>
    <mergeCell ref="U48:X48"/>
    <mergeCell ref="E56:G56"/>
    <mergeCell ref="O7:Q7"/>
    <mergeCell ref="H35:J35"/>
    <mergeCell ref="E43:G43"/>
    <mergeCell ref="O37:AC37"/>
    <mergeCell ref="B47:D47"/>
    <mergeCell ref="E33:G33"/>
    <mergeCell ref="B31:D31"/>
    <mergeCell ref="B46:D46"/>
    <mergeCell ref="Y57:AC57"/>
    <mergeCell ref="V5:X5"/>
    <mergeCell ref="L37:N37"/>
    <mergeCell ref="U56:X56"/>
    <mergeCell ref="B10:H10"/>
    <mergeCell ref="B39:D39"/>
    <mergeCell ref="B48:D48"/>
    <mergeCell ref="R6:T6"/>
    <mergeCell ref="B4:F4"/>
    <mergeCell ref="H46:J46"/>
    <mergeCell ref="Y56:AC56"/>
    <mergeCell ref="J5:N5"/>
    <mergeCell ref="H52:J52"/>
    <mergeCell ref="L33:AC33"/>
    <mergeCell ref="E34:G34"/>
    <mergeCell ref="L55:N55"/>
    <mergeCell ref="E8:I8"/>
    <mergeCell ref="H45:J45"/>
    <mergeCell ref="H32:J32"/>
    <mergeCell ref="L35:AC35"/>
    <mergeCell ref="E36:G36"/>
    <mergeCell ref="E45:G45"/>
    <mergeCell ref="O56:T56"/>
    <mergeCell ref="B49:D49"/>
    <mergeCell ref="L40:N40"/>
    <mergeCell ref="H47:J47"/>
    <mergeCell ref="O40:AC40"/>
    <mergeCell ref="L56:N56"/>
    <mergeCell ref="V7:X7"/>
    <mergeCell ref="B51:D51"/>
    <mergeCell ref="AB9:AC9"/>
    <mergeCell ref="J4:N4"/>
    <mergeCell ref="B41:D41"/>
    <mergeCell ref="E37:G37"/>
    <mergeCell ref="B35:D35"/>
    <mergeCell ref="B50:D50"/>
    <mergeCell ref="V4:AB4"/>
    <mergeCell ref="H53:J53"/>
    <mergeCell ref="O6:Q6"/>
    <mergeCell ref="H50:J50"/>
    <mergeCell ref="H55:J55"/>
    <mergeCell ref="H34:J34"/>
    <mergeCell ref="O36:AC36"/>
    <mergeCell ref="H39:J39"/>
    <mergeCell ref="E51:G51"/>
    <mergeCell ref="O45:AC45"/>
    <mergeCell ref="J8:N8"/>
    <mergeCell ref="H49:J49"/>
    <mergeCell ref="H36:J36"/>
    <mergeCell ref="AB6:AC6"/>
    <mergeCell ref="V9:X9"/>
    <mergeCell ref="U55:X55"/>
    <mergeCell ref="L39:N39"/>
    <mergeCell ref="L45:N45"/>
    <mergeCell ref="L31:AC32"/>
    <mergeCell ref="O44:AC44"/>
    <mergeCell ref="B29:D29"/>
    <mergeCell ref="B38:D38"/>
    <mergeCell ref="V6:X6"/>
    <mergeCell ref="Y7:AA7"/>
    <mergeCell ref="L38:N38"/>
    <mergeCell ref="J9:N9"/>
    <mergeCell ref="E49:G49"/>
    <mergeCell ref="H28:J28"/>
    <mergeCell ref="E27:G27"/>
    <mergeCell ref="L44:N44"/>
    <mergeCell ref="H37:J37"/>
    <mergeCell ref="H56:J56"/>
    <mergeCell ref="B40:D40"/>
    <mergeCell ref="O8:Q8"/>
    <mergeCell ref="B55:D55"/>
    <mergeCell ref="H48:J48"/>
    <mergeCell ref="B33:D33"/>
    <mergeCell ref="L34:AC34"/>
    <mergeCell ref="O38:AC38"/>
    <mergeCell ref="E53:G53"/>
    <mergeCell ref="B32:D32"/>
    <mergeCell ref="E50:G50"/>
    <mergeCell ref="R8:T8"/>
    <mergeCell ref="B7:D7"/>
    <mergeCell ref="AB8:AC8"/>
    <mergeCell ref="H43:J43"/>
    <mergeCell ref="E55:G55"/>
    <mergeCell ref="H54:J54"/>
    <mergeCell ref="E52:G52"/>
    <mergeCell ref="Y48:Z48"/>
    <mergeCell ref="H41:J41"/>
    <mergeCell ref="E39:G39"/>
    <mergeCell ref="Y9:AA9"/>
    <mergeCell ref="V8:X8"/>
    <mergeCell ref="E48:G48"/>
    <mergeCell ref="B27:D27"/>
    <mergeCell ref="B52:D52"/>
    <mergeCell ref="L27:M27"/>
    <mergeCell ref="L43:N43"/>
    <mergeCell ref="L28:AC28"/>
    <mergeCell ref="R7:T7"/>
    <mergeCell ref="E29:G29"/>
    <mergeCell ref="O39:AC39"/>
    <mergeCell ref="E38:G38"/>
  </mergeCells>
  <pageMargins left="0.45" right="0.35" top="0.7" bottom="0.4" header="0.5" footer="0.3"/>
  <pageSetup orientation="portrait" scale="95"/>
  <drawing r:id="rId1"/>
</worksheet>
</file>

<file path=xl/worksheets/sheet7.xml><?xml version="1.0" encoding="utf-8"?>
<worksheet xmlns:r="http://schemas.openxmlformats.org/officeDocument/2006/relationships" xmlns="http://schemas.openxmlformats.org/spreadsheetml/2006/main">
  <sheetPr codeName="Sheet12">
    <outlinePr summaryBelow="1" summaryRight="1"/>
    <pageSetUpPr/>
  </sheetPr>
  <dimension ref="A1:AF55"/>
  <sheetViews>
    <sheetView zoomScaleNormal="100" workbookViewId="0">
      <selection activeCell="E5" sqref="E5:I5"/>
    </sheetView>
  </sheetViews>
  <sheetFormatPr baseColWidth="8" defaultColWidth="0" defaultRowHeight="12.75" zeroHeight="1"/>
  <cols>
    <col width="3.7109375" customWidth="1" style="354" min="1" max="1"/>
    <col width="3.42578125" customWidth="1" style="354" min="2" max="28"/>
    <col width="3.140625" customWidth="1" style="354" min="29" max="29"/>
    <col width="9.140625" customWidth="1" style="354" min="30" max="30"/>
    <col hidden="1" style="354" min="31" max="16384"/>
  </cols>
  <sheetData>
    <row r="1" ht="15" customHeight="1" s="369">
      <c r="A1" s="15" t="n"/>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16" t="n"/>
    </row>
    <row r="2" ht="22.5" customHeight="1" s="369">
      <c r="A2" s="520" t="inlineStr">
        <is>
          <t>~ Linearity Certificate ~</t>
        </is>
      </c>
      <c r="AC2" s="40" t="n"/>
    </row>
    <row r="3">
      <c r="A3" s="17" t="n"/>
      <c r="B3" s="18" t="n"/>
      <c r="C3" s="18" t="n"/>
      <c r="D3" s="18" t="n"/>
      <c r="E3" s="18" t="n"/>
      <c r="F3" s="18" t="n"/>
      <c r="G3" s="18" t="n"/>
      <c r="H3" s="18" t="n"/>
      <c r="I3" s="18" t="n"/>
      <c r="J3" s="18" t="n"/>
      <c r="K3" s="18" t="n"/>
      <c r="L3" s="18" t="n"/>
      <c r="M3" s="18" t="n"/>
      <c r="N3" s="18" t="n"/>
      <c r="O3" s="18" t="n"/>
      <c r="U3" s="18" t="n"/>
      <c r="V3" s="18" t="n"/>
      <c r="W3" s="18" t="n"/>
      <c r="X3" s="18" t="n"/>
      <c r="Y3" s="18" t="n"/>
      <c r="Z3" s="18" t="n"/>
      <c r="AA3" s="18" t="n"/>
      <c r="AB3" s="18" t="n"/>
      <c r="AC3" s="19" t="n"/>
    </row>
    <row r="4" ht="15" customHeight="1" s="369">
      <c r="A4" s="17" t="n"/>
      <c r="B4" s="411" t="inlineStr">
        <is>
          <t>Sensor Information</t>
        </is>
      </c>
      <c r="G4" s="20" t="n"/>
      <c r="H4" s="20" t="n"/>
      <c r="I4" s="21" t="n"/>
      <c r="J4" s="411" t="inlineStr">
        <is>
          <t>Calibration Data</t>
        </is>
      </c>
      <c r="O4" s="20" t="n"/>
      <c r="P4" s="20" t="n"/>
      <c r="Q4" s="20" t="n"/>
      <c r="R4" s="20" t="n"/>
      <c r="S4" s="20" t="n"/>
      <c r="T4" s="20" t="n"/>
      <c r="U4" s="34" t="n"/>
      <c r="V4" s="412" t="inlineStr">
        <is>
          <t>Transducer Specifications</t>
        </is>
      </c>
      <c r="AC4" s="40" t="n"/>
      <c r="AE4" s="401" t="n"/>
      <c r="AF4" s="401" t="n"/>
    </row>
    <row r="5" ht="16.5" customHeight="1" s="369">
      <c r="A5" s="23" t="n"/>
      <c r="B5" s="389" t="inlineStr">
        <is>
          <t>Model Number:</t>
        </is>
      </c>
      <c r="E5" s="445" t="n"/>
      <c r="F5" s="358" t="n"/>
      <c r="G5" s="358" t="n"/>
      <c r="H5" s="358" t="n"/>
      <c r="I5" s="358" t="n"/>
      <c r="J5" s="389" t="inlineStr">
        <is>
          <t>Sensitivity:</t>
        </is>
      </c>
      <c r="O5" s="521">
        <f>IF('Linfit Worksheet'!J12&lt;&gt;"",FIXED(ABS('Linfit Worksheet'!J12),3),"")</f>
        <v/>
      </c>
      <c r="R5" s="396">
        <f>'Linfit Worksheet'!L2&amp;"/"&amp;'Linfit Worksheet'!K2</f>
        <v/>
      </c>
      <c r="U5" s="362" t="n"/>
      <c r="V5" s="399" t="inlineStr">
        <is>
          <t>Amp. Range:</t>
        </is>
      </c>
      <c r="W5" s="358" t="n"/>
      <c r="X5" s="358" t="n"/>
      <c r="Y5" s="377" t="n"/>
      <c r="Z5" s="358" t="n"/>
      <c r="AA5" s="358" t="n"/>
      <c r="AB5" s="458">
        <f>SLinMeasureRangeUnit</f>
        <v/>
      </c>
      <c r="AC5" s="40" t="n"/>
    </row>
    <row r="6" ht="15" customHeight="1" s="369">
      <c r="A6" s="23" t="n"/>
      <c r="B6" s="389" t="inlineStr">
        <is>
          <t>Serial Number:</t>
        </is>
      </c>
      <c r="E6" s="431" t="n"/>
      <c r="F6" s="358" t="n"/>
      <c r="G6" s="358" t="n"/>
      <c r="H6" s="358" t="n"/>
      <c r="I6" s="358" t="n"/>
      <c r="J6" s="11" t="n"/>
      <c r="K6" s="11" t="n"/>
      <c r="L6" s="11" t="n"/>
      <c r="M6" s="11" t="n"/>
      <c r="N6" s="11" t="n"/>
      <c r="O6" s="392" t="n"/>
      <c r="R6" s="389" t="n"/>
      <c r="U6" s="362" t="n"/>
      <c r="V6" s="456">
        <f>IF(MeasurementResolution&lt;0.000000001,"","Resolution:")</f>
        <v/>
      </c>
      <c r="Y6" s="377" t="n"/>
      <c r="Z6" s="358" t="n"/>
      <c r="AA6" s="358" t="n"/>
      <c r="AB6" s="458">
        <f>IF(MeasurementResolution&lt;0.000000001,"",SLinMeasureRangeUnit)</f>
        <v/>
      </c>
      <c r="AC6" s="40" t="n"/>
    </row>
    <row r="7" ht="15" customHeight="1" s="369">
      <c r="A7" s="23" t="n"/>
      <c r="B7" s="389" t="inlineStr">
        <is>
          <t>Manufacturer:</t>
        </is>
      </c>
      <c r="E7" s="431" t="n"/>
      <c r="F7" s="358" t="n"/>
      <c r="G7" s="358" t="n"/>
      <c r="H7" s="358" t="n"/>
      <c r="I7" s="358" t="n"/>
      <c r="J7" s="389" t="inlineStr">
        <is>
          <t>Linearity:</t>
        </is>
      </c>
      <c r="O7" s="395">
        <f>IF(LINData!K11&lt;&gt;"",FIXED(LINData!K11*100,2),"")</f>
        <v/>
      </c>
      <c r="R7" s="389" t="inlineStr">
        <is>
          <t>%</t>
        </is>
      </c>
      <c r="U7" s="395" t="n"/>
      <c r="V7" s="399" t="inlineStr">
        <is>
          <t>Resonant Freq:</t>
        </is>
      </c>
      <c r="W7" s="358" t="n"/>
      <c r="X7" s="358" t="n"/>
      <c r="Y7" s="377" t="n"/>
      <c r="Z7" s="358" t="n"/>
      <c r="AA7" s="358" t="n"/>
      <c r="AB7" s="458">
        <f>ResonantFrequencyUnits</f>
        <v/>
      </c>
      <c r="AC7" s="40" t="n"/>
    </row>
    <row r="8" ht="15" customHeight="1" s="369">
      <c r="A8" s="23" t="n"/>
      <c r="B8" s="389" t="inlineStr">
        <is>
          <t>ID Number:</t>
        </is>
      </c>
      <c r="E8" s="431" t="n"/>
      <c r="F8" s="358" t="n"/>
      <c r="G8" s="358" t="n"/>
      <c r="H8" s="358" t="n"/>
      <c r="I8" s="358" t="n"/>
      <c r="J8" s="445" t="n"/>
      <c r="K8" s="358" t="n"/>
      <c r="L8" s="358" t="n"/>
      <c r="M8" s="358" t="n"/>
      <c r="N8" s="358" t="n"/>
      <c r="O8" s="395" t="n"/>
      <c r="R8" s="401" t="n"/>
      <c r="U8" s="395" t="n"/>
      <c r="V8" s="399" t="inlineStr">
        <is>
          <t>Temp. Range:</t>
        </is>
      </c>
      <c r="W8" s="358" t="n"/>
      <c r="X8" s="358" t="n"/>
      <c r="Y8" s="400" t="n"/>
      <c r="Z8" s="358" t="n"/>
      <c r="AA8" s="358" t="n"/>
      <c r="AB8" s="378" t="inlineStr">
        <is>
          <t>oC</t>
        </is>
      </c>
      <c r="AC8" s="519" t="n"/>
    </row>
    <row r="9" ht="13.5" customHeight="1" s="369">
      <c r="A9" s="24" t="n"/>
      <c r="B9" s="389" t="n"/>
      <c r="C9" s="389" t="n"/>
      <c r="D9" s="389" t="n"/>
      <c r="E9" s="401" t="n"/>
      <c r="F9" s="401" t="n"/>
      <c r="G9" s="401" t="n"/>
      <c r="H9" s="401" t="n"/>
      <c r="I9" s="401" t="n"/>
      <c r="J9" s="445" t="n"/>
      <c r="K9" s="358" t="n"/>
      <c r="L9" s="358" t="n"/>
      <c r="M9" s="358" t="n"/>
      <c r="N9" s="358" t="n"/>
      <c r="O9" s="395" t="n"/>
      <c r="R9" s="401" t="n"/>
      <c r="U9" s="21" t="n"/>
      <c r="V9" s="399" t="n"/>
      <c r="W9" s="358" t="n"/>
      <c r="X9" s="358" t="n"/>
      <c r="Y9" s="377" t="n"/>
      <c r="Z9" s="358" t="n"/>
      <c r="AA9" s="358" t="n"/>
      <c r="AB9" s="378" t="n"/>
      <c r="AC9" s="519" t="n"/>
    </row>
    <row r="10">
      <c r="A10" s="4" t="n"/>
      <c r="B10" s="406" t="inlineStr">
        <is>
          <t>Amplitude Linearity</t>
        </is>
      </c>
      <c r="I10" s="25" t="n"/>
      <c r="J10" s="25" t="n"/>
      <c r="K10" s="25" t="n"/>
      <c r="L10" s="25" t="n"/>
      <c r="M10" s="25" t="n"/>
      <c r="AC10" s="5" t="n"/>
    </row>
    <row r="11">
      <c r="A11" s="522" t="n"/>
      <c r="AC11" s="40" t="n"/>
    </row>
    <row r="12">
      <c r="A12" s="523" t="n"/>
      <c r="AC12" s="40" t="n"/>
    </row>
    <row r="13">
      <c r="A13" s="523" t="n"/>
      <c r="AC13" s="40" t="n"/>
    </row>
    <row r="14">
      <c r="A14" s="523" t="n"/>
      <c r="AC14" s="40" t="n"/>
    </row>
    <row r="15">
      <c r="A15" s="523" t="n"/>
      <c r="AC15" s="40" t="n"/>
    </row>
    <row r="16">
      <c r="A16" s="523" t="n"/>
      <c r="AC16" s="40" t="n"/>
    </row>
    <row r="17">
      <c r="A17" s="523" t="n"/>
      <c r="AC17" s="40" t="n"/>
    </row>
    <row r="18">
      <c r="A18" s="523" t="n"/>
      <c r="AC18" s="40" t="n"/>
    </row>
    <row r="19">
      <c r="A19" s="523" t="n"/>
      <c r="AC19" s="40" t="n"/>
    </row>
    <row r="20">
      <c r="A20" s="523" t="n"/>
      <c r="AC20" s="40" t="n"/>
    </row>
    <row r="21">
      <c r="A21" s="523" t="n"/>
      <c r="AC21" s="40" t="n"/>
    </row>
    <row r="22">
      <c r="A22" s="523" t="n"/>
      <c r="AC22" s="40" t="n"/>
    </row>
    <row r="23">
      <c r="A23" s="523" t="n"/>
      <c r="AC23" s="40" t="n"/>
    </row>
    <row r="24">
      <c r="A24" s="523" t="n"/>
      <c r="AC24" s="40" t="n"/>
    </row>
    <row r="25">
      <c r="A25" s="523" t="n"/>
      <c r="AC25" s="40" t="n"/>
    </row>
    <row r="26">
      <c r="A26" s="4" t="n"/>
      <c r="AC26" s="5" t="n"/>
    </row>
    <row r="27" ht="13.5" customHeight="1" s="369" thickBot="1">
      <c r="A27" s="4" t="n"/>
      <c r="B27" s="372" t="inlineStr">
        <is>
          <t>Data Table</t>
        </is>
      </c>
      <c r="F27" s="363" t="n"/>
      <c r="G27" s="363" t="n"/>
      <c r="I27" s="26" t="n"/>
      <c r="J27" s="26" t="n"/>
      <c r="L27" s="372" t="inlineStr">
        <is>
          <t>Notes</t>
        </is>
      </c>
      <c r="T27" s="21" t="n"/>
      <c r="U27" s="21" t="n"/>
      <c r="V27" s="21" t="n"/>
      <c r="W27" s="27" t="n"/>
      <c r="X27" s="27" t="n"/>
      <c r="Y27" s="27" t="n"/>
      <c r="Z27" s="27" t="n"/>
      <c r="AA27" s="27" t="n"/>
      <c r="AB27" s="27" t="n"/>
      <c r="AC27" s="5" t="n"/>
    </row>
    <row r="28" ht="13.5" customHeight="1" s="369">
      <c r="A28" s="4" t="n"/>
      <c r="B28" s="397">
        <f>LINData!B12&amp;" ("&amp;LINData!H13&amp;")"</f>
        <v/>
      </c>
      <c r="C28" s="528" t="n"/>
      <c r="D28" s="529" t="n"/>
      <c r="E28" s="449">
        <f>"Output ("&amp;LINData!I13&amp;")"</f>
        <v/>
      </c>
      <c r="F28" s="528" t="n"/>
      <c r="G28" s="529" t="n"/>
      <c r="H28" s="404" t="inlineStr">
        <is>
          <t>Linearity (%)</t>
        </is>
      </c>
      <c r="I28" s="528" t="n"/>
      <c r="J28" s="529" t="n"/>
      <c r="L28" s="382" t="inlineStr">
        <is>
          <t>Results relate only to the items calibrated.</t>
        </is>
      </c>
      <c r="M28" s="358" t="n"/>
      <c r="N28" s="358" t="n"/>
      <c r="O28" s="358" t="n"/>
      <c r="P28" s="358" t="n"/>
      <c r="Q28" s="358" t="n"/>
      <c r="R28" s="358" t="n"/>
      <c r="S28" s="358" t="n"/>
      <c r="T28" s="358" t="n"/>
      <c r="U28" s="358" t="n"/>
      <c r="V28" s="358" t="n"/>
      <c r="W28" s="358" t="n"/>
      <c r="X28" s="358" t="n"/>
      <c r="Y28" s="358" t="n"/>
      <c r="Z28" s="358" t="n"/>
      <c r="AA28" s="358" t="n"/>
      <c r="AB28" s="358" t="n"/>
      <c r="AC28" s="519" t="n"/>
    </row>
    <row r="29" ht="13.5" customHeight="1" s="369">
      <c r="A29" s="4" t="n"/>
      <c r="B29" s="530" t="n"/>
      <c r="C29" s="196" t="n"/>
      <c r="D29" s="531" t="n"/>
      <c r="E29" s="532" t="n"/>
      <c r="F29" s="196" t="n"/>
      <c r="G29" s="531" t="n"/>
      <c r="H29" s="532" t="n"/>
      <c r="I29" s="196" t="n"/>
      <c r="J29" s="531" t="n"/>
      <c r="L29" s="382" t="inlineStr">
        <is>
          <t>This certificate may not be reproduced except in full, without written permision.</t>
        </is>
      </c>
      <c r="M29" s="358" t="n"/>
      <c r="N29" s="358" t="n"/>
      <c r="O29" s="358" t="n"/>
      <c r="P29" s="358" t="n"/>
      <c r="Q29" s="358" t="n"/>
      <c r="R29" s="358" t="n"/>
      <c r="S29" s="358" t="n"/>
      <c r="T29" s="358" t="n"/>
      <c r="U29" s="358" t="n"/>
      <c r="V29" s="358" t="n"/>
      <c r="W29" s="358" t="n"/>
      <c r="X29" s="358" t="n"/>
      <c r="Y29" s="358" t="n"/>
      <c r="Z29" s="358" t="n"/>
      <c r="AA29" s="358" t="n"/>
      <c r="AB29" s="358" t="n"/>
      <c r="AC29" s="519" t="n"/>
    </row>
    <row r="30" ht="12.95" customHeight="1" s="369">
      <c r="A30" s="4" t="n"/>
      <c r="B30" s="374">
        <f>IF('Linfit Worksheet'!K3&lt;&gt;"",IF('Linfit Worksheet'!L3&lt;&gt;"",'Linfit Worksheet'!K3,""),"")</f>
        <v/>
      </c>
      <c r="C30" s="495" t="n"/>
      <c r="D30" s="496" t="n"/>
      <c r="E30" s="376">
        <f>IF('Linfit Worksheet'!K3&lt;&gt;"",IF('Linfit Worksheet'!L3&lt;&gt;"",'Linfit Worksheet'!L3,""),"")</f>
        <v/>
      </c>
      <c r="F30" s="495" t="n"/>
      <c r="G30" s="496" t="n"/>
      <c r="H30" s="533" t="inlineStr">
        <is>
          <t>n/a</t>
        </is>
      </c>
      <c r="I30" s="495" t="n"/>
      <c r="J30" s="534" t="n"/>
      <c r="L30" s="382" t="inlineStr">
        <is>
          <t>Data Table is Normalized to Starting Point (-3V DC Nominal)</t>
        </is>
      </c>
      <c r="M30" s="358" t="n"/>
      <c r="N30" s="358" t="n"/>
      <c r="O30" s="358" t="n"/>
      <c r="P30" s="358" t="n"/>
      <c r="Q30" s="358" t="n"/>
      <c r="R30" s="358" t="n"/>
      <c r="S30" s="358" t="n"/>
      <c r="T30" s="358" t="n"/>
      <c r="U30" s="358" t="n"/>
      <c r="V30" s="358" t="n"/>
      <c r="W30" s="358" t="n"/>
      <c r="X30" s="358" t="n"/>
      <c r="Y30" s="358" t="n"/>
      <c r="Z30" s="358" t="n"/>
      <c r="AA30" s="358" t="n"/>
      <c r="AB30" s="358" t="n"/>
      <c r="AC30" s="519" t="n"/>
    </row>
    <row r="31" ht="12.95" customHeight="1" s="369">
      <c r="A31" s="4" t="n"/>
      <c r="B31" s="374">
        <f>IF('Linfit Worksheet'!K4&lt;&gt;"",IF('Linfit Worksheet'!L4&lt;&gt;"",'Linfit Worksheet'!K4,""),"")</f>
        <v/>
      </c>
      <c r="C31" s="495" t="n"/>
      <c r="D31" s="496" t="n"/>
      <c r="E31" s="376">
        <f>IF('Linfit Worksheet'!K4&lt;&gt;"",IF('Linfit Worksheet'!L4&lt;&gt;"",'Linfit Worksheet'!L4,""),"")</f>
        <v/>
      </c>
      <c r="F31" s="495" t="n"/>
      <c r="G31" s="496" t="n"/>
      <c r="H31" s="535">
        <f>IF('Linfit Worksheet'!K4&lt;&gt;"",IF('Linfit Worksheet'!L4&lt;&gt;"",'Linfit Worksheet'!N4,""),"")</f>
        <v/>
      </c>
      <c r="I31" s="495" t="n"/>
      <c r="J31" s="496" t="n"/>
      <c r="L31" s="382" t="inlineStr">
        <is>
          <t>Displacement data must be entered in ascending order from Starting Point</t>
        </is>
      </c>
      <c r="M31" s="358" t="n"/>
      <c r="N31" s="358" t="n"/>
      <c r="O31" s="358" t="n"/>
      <c r="P31" s="358" t="n"/>
      <c r="Q31" s="358" t="n"/>
      <c r="R31" s="358" t="n"/>
      <c r="S31" s="358" t="n"/>
      <c r="T31" s="358" t="n"/>
      <c r="U31" s="358" t="n"/>
      <c r="V31" s="358" t="n"/>
      <c r="W31" s="358" t="n"/>
      <c r="X31" s="358" t="n"/>
      <c r="Y31" s="358" t="n"/>
      <c r="Z31" s="358" t="n"/>
      <c r="AA31" s="358" t="n"/>
      <c r="AB31" s="358" t="n"/>
      <c r="AC31" s="519" t="n"/>
    </row>
    <row r="32" ht="12.95" customHeight="1" s="369">
      <c r="A32" s="4" t="n"/>
      <c r="B32" s="374">
        <f>IF('Linfit Worksheet'!K5&lt;&gt;"",IF('Linfit Worksheet'!L5&lt;&gt;"",'Linfit Worksheet'!K5,""),"")</f>
        <v/>
      </c>
      <c r="C32" s="495" t="n"/>
      <c r="D32" s="496" t="n"/>
      <c r="E32" s="376">
        <f>IF('Linfit Worksheet'!K5&lt;&gt;"",IF('Linfit Worksheet'!L5&lt;&gt;"",'Linfit Worksheet'!L5,""),"")</f>
        <v/>
      </c>
      <c r="F32" s="495" t="n"/>
      <c r="G32" s="496" t="n"/>
      <c r="H32" s="535">
        <f>IF('Linfit Worksheet'!K5&lt;&gt;"",IF('Linfit Worksheet'!L5&lt;&gt;"",'Linfit Worksheet'!N5,""),"")</f>
        <v/>
      </c>
      <c r="I32" s="495" t="n"/>
      <c r="J32" s="496" t="n"/>
      <c r="L32" s="382" t="n"/>
      <c r="M32" s="358" t="n"/>
      <c r="N32" s="358" t="n"/>
      <c r="O32" s="358" t="n"/>
      <c r="P32" s="358" t="n"/>
      <c r="Q32" s="358" t="n"/>
      <c r="R32" s="358" t="n"/>
      <c r="S32" s="358" t="n"/>
      <c r="T32" s="358" t="n"/>
      <c r="U32" s="358" t="n"/>
      <c r="V32" s="358" t="n"/>
      <c r="W32" s="358" t="n"/>
      <c r="X32" s="358" t="n"/>
      <c r="Y32" s="358" t="n"/>
      <c r="Z32" s="358" t="n"/>
      <c r="AA32" s="358" t="n"/>
      <c r="AB32" s="358" t="n"/>
      <c r="AC32" s="519" t="n"/>
    </row>
    <row r="33" ht="12.95" customHeight="1" s="369">
      <c r="A33" s="4" t="n"/>
      <c r="B33" s="374">
        <f>IF('Linfit Worksheet'!K6&lt;&gt;"",IF('Linfit Worksheet'!L6&lt;&gt;"",'Linfit Worksheet'!K6,""),"")</f>
        <v/>
      </c>
      <c r="C33" s="495" t="n"/>
      <c r="D33" s="496" t="n"/>
      <c r="E33" s="376">
        <f>IF('Linfit Worksheet'!K6&lt;&gt;"",IF('Linfit Worksheet'!L6&lt;&gt;"",'Linfit Worksheet'!L6,""),"")</f>
        <v/>
      </c>
      <c r="F33" s="495" t="n"/>
      <c r="G33" s="496" t="n"/>
      <c r="H33" s="535">
        <f>IF('Linfit Worksheet'!K6&lt;&gt;"",IF('Linfit Worksheet'!L6&lt;&gt;"",'Linfit Worksheet'!N6,""),"")</f>
        <v/>
      </c>
      <c r="I33" s="495" t="n"/>
      <c r="J33" s="496" t="n"/>
      <c r="L33" s="382" t="n"/>
      <c r="M33" s="358" t="n"/>
      <c r="N33" s="358" t="n"/>
      <c r="O33" s="358" t="n"/>
      <c r="P33" s="358" t="n"/>
      <c r="Q33" s="358" t="n"/>
      <c r="R33" s="358" t="n"/>
      <c r="S33" s="358" t="n"/>
      <c r="T33" s="358" t="n"/>
      <c r="U33" s="358" t="n"/>
      <c r="V33" s="358" t="n"/>
      <c r="W33" s="358" t="n"/>
      <c r="X33" s="358" t="n"/>
      <c r="Y33" s="358" t="n"/>
      <c r="Z33" s="358" t="n"/>
      <c r="AA33" s="358" t="n"/>
      <c r="AB33" s="358" t="n"/>
      <c r="AC33" s="519" t="n"/>
    </row>
    <row r="34" ht="12.95" customHeight="1" s="369">
      <c r="A34" s="4" t="n"/>
      <c r="B34" s="374">
        <f>IF('Linfit Worksheet'!K7&lt;&gt;"",IF('Linfit Worksheet'!L7&lt;&gt;"",'Linfit Worksheet'!K7,""),"")</f>
        <v/>
      </c>
      <c r="C34" s="495" t="n"/>
      <c r="D34" s="496" t="n"/>
      <c r="E34" s="376">
        <f>IF('Linfit Worksheet'!K7&lt;&gt;"",IF('Linfit Worksheet'!L7&lt;&gt;"",'Linfit Worksheet'!L7,""),"")</f>
        <v/>
      </c>
      <c r="F34" s="495" t="n"/>
      <c r="G34" s="496" t="n"/>
      <c r="H34" s="535">
        <f>IF('Linfit Worksheet'!K7&lt;&gt;"",IF('Linfit Worksheet'!L7&lt;&gt;"",'Linfit Worksheet'!N7,""),"")</f>
        <v/>
      </c>
      <c r="I34" s="495" t="n"/>
      <c r="J34" s="496" t="n"/>
      <c r="L34" s="382" t="n"/>
      <c r="M34" s="358" t="n"/>
      <c r="N34" s="358" t="n"/>
      <c r="O34" s="358" t="n"/>
      <c r="P34" s="358" t="n"/>
      <c r="Q34" s="358" t="n"/>
      <c r="R34" s="358" t="n"/>
      <c r="S34" s="358" t="n"/>
      <c r="T34" s="358" t="n"/>
      <c r="U34" s="358" t="n"/>
      <c r="V34" s="358" t="n"/>
      <c r="W34" s="358" t="n"/>
      <c r="X34" s="358" t="n"/>
      <c r="Y34" s="358" t="n"/>
      <c r="Z34" s="358" t="n"/>
      <c r="AA34" s="358" t="n"/>
      <c r="AB34" s="358" t="n"/>
      <c r="AC34" s="519" t="n"/>
    </row>
    <row r="35" ht="12.95" customHeight="1" s="369">
      <c r="A35" s="4" t="n"/>
      <c r="B35" s="374">
        <f>IF('Linfit Worksheet'!K8&lt;&gt;"",IF('Linfit Worksheet'!L8&lt;&gt;"",'Linfit Worksheet'!K8,""),"")</f>
        <v/>
      </c>
      <c r="C35" s="495" t="n"/>
      <c r="D35" s="496" t="n"/>
      <c r="E35" s="376">
        <f>IF('Linfit Worksheet'!K8&lt;&gt;"",IF('Linfit Worksheet'!L8&lt;&gt;"",'Linfit Worksheet'!L8,""),"")</f>
        <v/>
      </c>
      <c r="F35" s="495" t="n"/>
      <c r="G35" s="496" t="n"/>
      <c r="H35" s="535">
        <f>IF('Linfit Worksheet'!K8&lt;&gt;"",IF('Linfit Worksheet'!L8&lt;&gt;"",'Linfit Worksheet'!N8,""),"")</f>
        <v/>
      </c>
      <c r="I35" s="495" t="n"/>
      <c r="J35" s="496" t="n"/>
      <c r="L35" s="382" t="n"/>
      <c r="M35" s="358" t="n"/>
      <c r="N35" s="358" t="n"/>
      <c r="O35" s="358" t="n"/>
      <c r="P35" s="358" t="n"/>
      <c r="Q35" s="358" t="n"/>
      <c r="R35" s="358" t="n"/>
      <c r="S35" s="358" t="n"/>
      <c r="T35" s="358" t="n"/>
      <c r="U35" s="358" t="n"/>
      <c r="V35" s="358" t="n"/>
      <c r="W35" s="358" t="n"/>
      <c r="X35" s="358" t="n"/>
      <c r="Y35" s="358" t="n"/>
      <c r="Z35" s="358" t="n"/>
      <c r="AA35" s="358" t="n"/>
      <c r="AB35" s="358" t="n"/>
      <c r="AC35" s="519" t="n"/>
    </row>
    <row r="36" ht="12.95" customHeight="1" s="369">
      <c r="A36" s="4" t="n"/>
      <c r="B36" s="374">
        <f>IF('Linfit Worksheet'!K9&lt;&gt;"",IF('Linfit Worksheet'!L9&lt;&gt;"",'Linfit Worksheet'!K9,""),"")</f>
        <v/>
      </c>
      <c r="C36" s="495" t="n"/>
      <c r="D36" s="496" t="n"/>
      <c r="E36" s="376">
        <f>IF('Linfit Worksheet'!K9&lt;&gt;"",IF('Linfit Worksheet'!L9&lt;&gt;"",'Linfit Worksheet'!L9,""),"")</f>
        <v/>
      </c>
      <c r="F36" s="495" t="n"/>
      <c r="G36" s="496" t="n"/>
      <c r="H36" s="535">
        <f>IF('Linfit Worksheet'!K9&lt;&gt;"",IF('Linfit Worksheet'!L9&lt;&gt;"",'Linfit Worksheet'!N9,""),"")</f>
        <v/>
      </c>
      <c r="I36" s="495" t="n"/>
      <c r="J36" s="496" t="n"/>
      <c r="L36" s="492" t="inlineStr">
        <is>
          <t>Customer</t>
        </is>
      </c>
      <c r="O36" s="453" t="n"/>
      <c r="P36" s="358" t="n"/>
      <c r="Q36" s="358" t="n"/>
      <c r="R36" s="358" t="n"/>
      <c r="S36" s="358" t="n"/>
      <c r="T36" s="358" t="n"/>
      <c r="U36" s="358" t="n"/>
      <c r="V36" s="358" t="n"/>
      <c r="W36" s="358" t="n"/>
      <c r="X36" s="358" t="n"/>
      <c r="Y36" s="358" t="n"/>
      <c r="Z36" s="358" t="n"/>
      <c r="AA36" s="358" t="n"/>
      <c r="AB36" s="358" t="n"/>
      <c r="AC36" s="519" t="n"/>
    </row>
    <row r="37" ht="12.95" customHeight="1" s="369">
      <c r="A37" s="4" t="n"/>
      <c r="B37" s="374">
        <f>IF('Linfit Worksheet'!K10&lt;&gt;"",IF('Linfit Worksheet'!L10&lt;&gt;"",'Linfit Worksheet'!K10,""),"")</f>
        <v/>
      </c>
      <c r="C37" s="495" t="n"/>
      <c r="D37" s="496" t="n"/>
      <c r="E37" s="376">
        <f>IF('Linfit Worksheet'!K10&lt;&gt;"",IF('Linfit Worksheet'!L10&lt;&gt;"",'Linfit Worksheet'!L10,""),"")</f>
        <v/>
      </c>
      <c r="F37" s="495" t="n"/>
      <c r="G37" s="496" t="n"/>
      <c r="H37" s="535">
        <f>IF('Linfit Worksheet'!K10&lt;&gt;"",IF('Linfit Worksheet'!L10&lt;&gt;"",'Linfit Worksheet'!N10,""),"")</f>
        <v/>
      </c>
      <c r="I37" s="495" t="n"/>
      <c r="J37" s="496" t="n"/>
      <c r="L37" s="239" t="n"/>
      <c r="M37" s="239" t="n"/>
      <c r="N37" s="239" t="n"/>
      <c r="O37" s="453" t="n"/>
      <c r="P37" s="358" t="n"/>
      <c r="Q37" s="358" t="n"/>
      <c r="R37" s="358" t="n"/>
      <c r="S37" s="358" t="n"/>
      <c r="T37" s="358" t="n"/>
      <c r="U37" s="358" t="n"/>
      <c r="V37" s="358" t="n"/>
      <c r="W37" s="358" t="n"/>
      <c r="X37" s="358" t="n"/>
      <c r="Y37" s="358" t="n"/>
      <c r="Z37" s="358" t="n"/>
      <c r="AA37" s="358" t="n"/>
      <c r="AB37" s="358" t="n"/>
      <c r="AC37" s="519" t="n"/>
    </row>
    <row r="38" ht="12.95" customHeight="1" s="369">
      <c r="A38" s="4" t="n"/>
      <c r="B38" s="374">
        <f>IF('Linfit Worksheet'!K11&lt;&gt;"",IF('Linfit Worksheet'!L11&lt;&gt;"",'Linfit Worksheet'!K11,""),"")</f>
        <v/>
      </c>
      <c r="C38" s="495" t="n"/>
      <c r="D38" s="496" t="n"/>
      <c r="E38" s="376">
        <f>IF('Linfit Worksheet'!K11&lt;&gt;"",IF('Linfit Worksheet'!L11&lt;&gt;"",'Linfit Worksheet'!L11,""),"")</f>
        <v/>
      </c>
      <c r="F38" s="495" t="n"/>
      <c r="G38" s="496" t="n"/>
      <c r="H38" s="535">
        <f>IF('Linfit Worksheet'!K11&lt;&gt;"",IF('Linfit Worksheet'!L11&lt;&gt;"",'Linfit Worksheet'!N11,""),"")</f>
        <v/>
      </c>
      <c r="I38" s="495" t="n"/>
      <c r="J38" s="496" t="n"/>
      <c r="O38" s="453" t="n"/>
      <c r="P38" s="358" t="n"/>
      <c r="Q38" s="358" t="n"/>
      <c r="R38" s="358" t="n"/>
      <c r="S38" s="358" t="n"/>
      <c r="T38" s="358" t="n"/>
      <c r="U38" s="358" t="n"/>
      <c r="V38" s="358" t="n"/>
      <c r="W38" s="358" t="n"/>
      <c r="X38" s="358" t="n"/>
      <c r="Y38" s="358" t="n"/>
      <c r="Z38" s="358" t="n"/>
      <c r="AA38" s="358" t="n"/>
      <c r="AB38" s="358" t="n"/>
      <c r="AC38" s="519" t="n"/>
    </row>
    <row r="39" ht="12.95" customHeight="1" s="369">
      <c r="A39" s="4" t="n"/>
      <c r="B39" s="374">
        <f>IF('Linfit Worksheet'!K12&lt;&gt;"",IF('Linfit Worksheet'!L12&lt;&gt;"",'Linfit Worksheet'!K12,""),"")</f>
        <v/>
      </c>
      <c r="C39" s="495" t="n"/>
      <c r="D39" s="496" t="n"/>
      <c r="E39" s="376">
        <f>IF('Linfit Worksheet'!K12&lt;&gt;"",IF('Linfit Worksheet'!L12&lt;&gt;"",'Linfit Worksheet'!L12,""),"")</f>
        <v/>
      </c>
      <c r="F39" s="495" t="n"/>
      <c r="G39" s="496" t="n"/>
      <c r="H39" s="535">
        <f>IF('Linfit Worksheet'!K12&lt;&gt;"",IF('Linfit Worksheet'!L12&lt;&gt;"",'Linfit Worksheet'!N12,""),"")</f>
        <v/>
      </c>
      <c r="I39" s="495" t="n"/>
      <c r="J39" s="496" t="n"/>
      <c r="O39" s="453" t="n"/>
      <c r="P39" s="358" t="n"/>
      <c r="Q39" s="358" t="n"/>
      <c r="R39" s="358" t="n"/>
      <c r="S39" s="358" t="n"/>
      <c r="T39" s="358" t="n"/>
      <c r="U39" s="358" t="n"/>
      <c r="V39" s="358" t="n"/>
      <c r="W39" s="358" t="n"/>
      <c r="X39" s="358" t="n"/>
      <c r="Y39" s="358" t="n"/>
      <c r="Z39" s="358" t="n"/>
      <c r="AA39" s="358" t="n"/>
      <c r="AB39" s="358" t="n"/>
      <c r="AC39" s="519" t="n"/>
    </row>
    <row r="40" ht="12.95" customHeight="1" s="369">
      <c r="A40" s="28" t="n"/>
      <c r="B40" s="374">
        <f>IF('Linfit Worksheet'!K13&lt;&gt;"",IF('Linfit Worksheet'!L13&lt;&gt;"",'Linfit Worksheet'!K13,""),"")</f>
        <v/>
      </c>
      <c r="C40" s="495" t="n"/>
      <c r="D40" s="496" t="n"/>
      <c r="E40" s="376">
        <f>IF('Linfit Worksheet'!K13&lt;&gt;"",IF('Linfit Worksheet'!L13&lt;&gt;"",'Linfit Worksheet'!L13,""),"")</f>
        <v/>
      </c>
      <c r="F40" s="495" t="n"/>
      <c r="G40" s="496" t="n"/>
      <c r="H40" s="535">
        <f>IF('Linfit Worksheet'!K13&lt;&gt;"",IF('Linfit Worksheet'!L13&lt;&gt;"",'Linfit Worksheet'!N13,""),"")</f>
        <v/>
      </c>
      <c r="I40" s="495" t="n"/>
      <c r="J40" s="496" t="n"/>
      <c r="L40" s="240" t="n"/>
      <c r="M40" s="240" t="n"/>
      <c r="N40" s="240" t="n"/>
      <c r="O40" s="453" t="n"/>
      <c r="P40" s="358" t="n"/>
      <c r="Q40" s="358" t="n"/>
      <c r="R40" s="358" t="n"/>
      <c r="S40" s="358" t="n"/>
      <c r="T40" s="358" t="n"/>
      <c r="U40" s="358" t="n"/>
      <c r="V40" s="358" t="n"/>
      <c r="W40" s="358" t="n"/>
      <c r="X40" s="358" t="n"/>
      <c r="Y40" s="358" t="n"/>
      <c r="Z40" s="358" t="n"/>
      <c r="AA40" s="358" t="n"/>
      <c r="AB40" s="358" t="n"/>
      <c r="AC40" s="519" t="n"/>
    </row>
    <row r="41" ht="12.95" customHeight="1" s="369">
      <c r="A41" s="29" t="n"/>
      <c r="B41" s="374">
        <f>IF('Linfit Worksheet'!K14&lt;&gt;"",IF('Linfit Worksheet'!L14&lt;&gt;"",'Linfit Worksheet'!K14,""),"")</f>
        <v/>
      </c>
      <c r="C41" s="495" t="n"/>
      <c r="D41" s="496" t="n"/>
      <c r="E41" s="376">
        <f>IF('Linfit Worksheet'!K14&lt;&gt;"",IF('Linfit Worksheet'!L14&lt;&gt;"",'Linfit Worksheet'!L14,""),"")</f>
        <v/>
      </c>
      <c r="F41" s="495" t="n"/>
      <c r="G41" s="496" t="n"/>
      <c r="H41" s="535">
        <f>IF('Linfit Worksheet'!K14&lt;&gt;"",IF('Linfit Worksheet'!L14&lt;&gt;"",'Linfit Worksheet'!N14,""),"")</f>
        <v/>
      </c>
      <c r="I41" s="495" t="n"/>
      <c r="J41" s="496" t="n"/>
      <c r="L41" s="365" t="inlineStr">
        <is>
          <t>User Notes</t>
        </is>
      </c>
      <c r="O41" s="453" t="n"/>
      <c r="P41" s="358" t="n"/>
      <c r="Q41" s="358" t="n"/>
      <c r="R41" s="358" t="n"/>
      <c r="S41" s="358" t="n"/>
      <c r="T41" s="358" t="n"/>
      <c r="U41" s="358" t="n"/>
      <c r="V41" s="358" t="n"/>
      <c r="W41" s="358" t="n"/>
      <c r="X41" s="358" t="n"/>
      <c r="Y41" s="358" t="n"/>
      <c r="Z41" s="358" t="n"/>
      <c r="AA41" s="358" t="n"/>
      <c r="AB41" s="358" t="n"/>
      <c r="AC41" s="519" t="n"/>
    </row>
    <row r="42" ht="12.95" customHeight="1" s="369">
      <c r="A42" s="4" t="n"/>
      <c r="B42" s="374">
        <f>IF('Linfit Worksheet'!K15&lt;&gt;"",IF('Linfit Worksheet'!L15&lt;&gt;"",'Linfit Worksheet'!K15,""),"")</f>
        <v/>
      </c>
      <c r="C42" s="495" t="n"/>
      <c r="D42" s="496" t="n"/>
      <c r="E42" s="376">
        <f>IF('Linfit Worksheet'!K15&lt;&gt;"",IF('Linfit Worksheet'!L15&lt;&gt;"",'Linfit Worksheet'!L15,""),"")</f>
        <v/>
      </c>
      <c r="F42" s="495" t="n"/>
      <c r="G42" s="496" t="n"/>
      <c r="H42" s="535">
        <f>IF('Linfit Worksheet'!K15&lt;&gt;"",IF('Linfit Worksheet'!L15&lt;&gt;"",'Linfit Worksheet'!N15,""),"")</f>
        <v/>
      </c>
      <c r="I42" s="495" t="n"/>
      <c r="J42" s="496" t="n"/>
      <c r="L42" s="241" t="n"/>
      <c r="M42" s="358" t="n"/>
      <c r="N42" s="358" t="n"/>
      <c r="O42" s="453" t="n"/>
      <c r="P42" s="358" t="n"/>
      <c r="Q42" s="358" t="n"/>
      <c r="R42" s="358" t="n"/>
      <c r="S42" s="358" t="n"/>
      <c r="T42" s="358" t="n"/>
      <c r="U42" s="358" t="n"/>
      <c r="V42" s="358" t="n"/>
      <c r="W42" s="358" t="n"/>
      <c r="X42" s="358" t="n"/>
      <c r="Y42" s="358" t="n"/>
      <c r="Z42" s="358" t="n"/>
      <c r="AA42" s="358" t="n"/>
      <c r="AB42" s="358" t="n"/>
      <c r="AC42" s="519" t="n"/>
    </row>
    <row r="43" ht="12.95" customHeight="1" s="369">
      <c r="A43" s="4" t="n"/>
      <c r="B43" s="374">
        <f>IF('Linfit Worksheet'!K16&lt;&gt;"",IF('Linfit Worksheet'!L16&lt;&gt;"",'Linfit Worksheet'!K16,""),"")</f>
        <v/>
      </c>
      <c r="C43" s="495" t="n"/>
      <c r="D43" s="496" t="n"/>
      <c r="E43" s="376">
        <f>IF('Linfit Worksheet'!K16&lt;&gt;"",IF('Linfit Worksheet'!L16&lt;&gt;"",'Linfit Worksheet'!L16,""),"")</f>
        <v/>
      </c>
      <c r="F43" s="495" t="n"/>
      <c r="G43" s="496" t="n"/>
      <c r="H43" s="535">
        <f>IF('Linfit Worksheet'!K16&lt;&gt;"",IF('Linfit Worksheet'!L16&lt;&gt;"",'Linfit Worksheet'!N16,""),"")</f>
        <v/>
      </c>
      <c r="I43" s="495" t="n"/>
      <c r="J43" s="496" t="n"/>
      <c r="L43" s="358" t="n"/>
      <c r="M43" s="358" t="n"/>
      <c r="N43" s="358" t="n"/>
      <c r="O43" s="453" t="n"/>
      <c r="P43" s="358" t="n"/>
      <c r="Q43" s="358" t="n"/>
      <c r="R43" s="358" t="n"/>
      <c r="S43" s="358" t="n"/>
      <c r="T43" s="358" t="n"/>
      <c r="U43" s="358" t="n"/>
      <c r="V43" s="358" t="n"/>
      <c r="W43" s="358" t="n"/>
      <c r="X43" s="358" t="n"/>
      <c r="Y43" s="358" t="n"/>
      <c r="Z43" s="358" t="n"/>
      <c r="AA43" s="358" t="n"/>
      <c r="AB43" s="358" t="n"/>
      <c r="AC43" s="519" t="n"/>
    </row>
    <row r="44" ht="12.95" customHeight="1" s="369">
      <c r="A44" s="4" t="n"/>
      <c r="B44" s="374">
        <f>IF('Linfit Worksheet'!K17&lt;&gt;"",IF('Linfit Worksheet'!L17&lt;&gt;"",'Linfit Worksheet'!K17,""),"")</f>
        <v/>
      </c>
      <c r="C44" s="495" t="n"/>
      <c r="D44" s="496" t="n"/>
      <c r="E44" s="376">
        <f>IF('Linfit Worksheet'!K17&lt;&gt;"",IF('Linfit Worksheet'!L17&lt;&gt;"",'Linfit Worksheet'!L17,""),"")</f>
        <v/>
      </c>
      <c r="F44" s="495" t="n"/>
      <c r="G44" s="496" t="n"/>
      <c r="H44" s="535">
        <f>IF('Linfit Worksheet'!K17&lt;&gt;"",IF('Linfit Worksheet'!L17&lt;&gt;"",'Linfit Worksheet'!N17,""),"")</f>
        <v/>
      </c>
      <c r="I44" s="495" t="n"/>
      <c r="J44" s="496" t="n"/>
      <c r="O44" s="453" t="n"/>
      <c r="P44" s="358" t="n"/>
      <c r="Q44" s="358" t="n"/>
      <c r="R44" s="358" t="n"/>
      <c r="S44" s="358" t="n"/>
      <c r="T44" s="358" t="n"/>
      <c r="U44" s="358" t="n"/>
      <c r="V44" s="358" t="n"/>
      <c r="W44" s="358" t="n"/>
      <c r="X44" s="358" t="n"/>
      <c r="Y44" s="358" t="n"/>
      <c r="Z44" s="358" t="n"/>
      <c r="AA44" s="358" t="n"/>
      <c r="AB44" s="358" t="n"/>
      <c r="AC44" s="519" t="n"/>
    </row>
    <row r="45" ht="12.95" customHeight="1" s="369">
      <c r="A45" s="4" t="n"/>
      <c r="B45" s="374">
        <f>IF('Linfit Worksheet'!K18&lt;&gt;"",IF('Linfit Worksheet'!L18&lt;&gt;"",'Linfit Worksheet'!K18,""),"")</f>
        <v/>
      </c>
      <c r="C45" s="495" t="n"/>
      <c r="D45" s="496" t="n"/>
      <c r="E45" s="376">
        <f>IF('Linfit Worksheet'!K18&lt;&gt;"",IF('Linfit Worksheet'!L18&lt;&gt;"",'Linfit Worksheet'!L18,""),"")</f>
        <v/>
      </c>
      <c r="F45" s="495" t="n"/>
      <c r="G45" s="496" t="n"/>
      <c r="H45" s="535">
        <f>IF('Linfit Worksheet'!K18&lt;&gt;"",IF('Linfit Worksheet'!L18&lt;&gt;"",'Linfit Worksheet'!N18,""),"")</f>
        <v/>
      </c>
      <c r="I45" s="495" t="n"/>
      <c r="J45" s="496" t="n"/>
      <c r="O45" s="453" t="n"/>
      <c r="P45" s="358" t="n"/>
      <c r="Q45" s="358" t="n"/>
      <c r="R45" s="358" t="n"/>
      <c r="S45" s="358" t="n"/>
      <c r="T45" s="358" t="n"/>
      <c r="U45" s="358" t="n"/>
      <c r="V45" s="358" t="n"/>
      <c r="W45" s="358" t="n"/>
      <c r="X45" s="358" t="n"/>
      <c r="Y45" s="358" t="n"/>
      <c r="Z45" s="358" t="n"/>
      <c r="AA45" s="358" t="n"/>
      <c r="AB45" s="358" t="n"/>
      <c r="AC45" s="519" t="n"/>
    </row>
    <row r="46" ht="12.95" customHeight="1" s="369">
      <c r="A46" s="4" t="n"/>
      <c r="B46" s="374">
        <f>IF('Linfit Worksheet'!K19&lt;&gt;"",IF('Linfit Worksheet'!L19&lt;&gt;"",'Linfit Worksheet'!K19,""),"")</f>
        <v/>
      </c>
      <c r="C46" s="495" t="n"/>
      <c r="D46" s="496" t="n"/>
      <c r="E46" s="376">
        <f>IF('Linfit Worksheet'!K19&lt;&gt;"",IF('Linfit Worksheet'!L19&lt;&gt;"",'Linfit Worksheet'!L19,""),"")</f>
        <v/>
      </c>
      <c r="F46" s="495" t="n"/>
      <c r="G46" s="496" t="n"/>
      <c r="H46" s="535">
        <f>IF('Linfit Worksheet'!K19&lt;&gt;"",IF('Linfit Worksheet'!L19&lt;&gt;"",'Linfit Worksheet'!N19,""),"")</f>
        <v/>
      </c>
      <c r="I46" s="495" t="n"/>
      <c r="J46" s="496" t="n"/>
      <c r="L46" s="492" t="inlineStr">
        <is>
          <t>Unit Condition</t>
        </is>
      </c>
      <c r="U46" s="492" t="inlineStr">
        <is>
          <t>Lab Conditions</t>
        </is>
      </c>
      <c r="AC46" s="5" t="n"/>
    </row>
    <row r="47" ht="12.95" customHeight="1" s="369">
      <c r="A47" s="4" t="n"/>
      <c r="B47" s="374">
        <f>IF('Linfit Worksheet'!K20&lt;&gt;"",IF('Linfit Worksheet'!L20&lt;&gt;"",'Linfit Worksheet'!K20,""),"")</f>
        <v/>
      </c>
      <c r="C47" s="495" t="n"/>
      <c r="D47" s="496" t="n"/>
      <c r="E47" s="376">
        <f>IF('Linfit Worksheet'!K20&lt;&gt;"",IF('Linfit Worksheet'!L20&lt;&gt;"",'Linfit Worksheet'!L20,""),"")</f>
        <v/>
      </c>
      <c r="F47" s="495" t="n"/>
      <c r="G47" s="496" t="n"/>
      <c r="H47" s="535">
        <f>IF('Linfit Worksheet'!K20&lt;&gt;"",IF('Linfit Worksheet'!L20&lt;&gt;"",'Linfit Worksheet'!N20,""),"")</f>
        <v/>
      </c>
      <c r="I47" s="495" t="n"/>
      <c r="J47" s="496" t="n"/>
      <c r="L47" s="430" t="inlineStr">
        <is>
          <t>As Found:</t>
        </is>
      </c>
      <c r="O47" s="431" t="n"/>
      <c r="P47" s="358" t="n"/>
      <c r="Q47" s="358" t="n"/>
      <c r="R47" s="358" t="n"/>
      <c r="S47" s="358" t="n"/>
      <c r="T47" s="358" t="n"/>
      <c r="U47" s="430" t="inlineStr">
        <is>
          <t>Temperature:</t>
        </is>
      </c>
      <c r="Y47" s="390" t="n"/>
      <c r="Z47" s="358" t="n"/>
      <c r="AA47" s="51" t="inlineStr">
        <is>
          <t>°C</t>
        </is>
      </c>
      <c r="AC47" s="5" t="n"/>
    </row>
    <row r="48" ht="12.95" customHeight="1" s="369">
      <c r="A48" s="4" t="n"/>
      <c r="B48" s="374">
        <f>IF('Linfit Worksheet'!K21&lt;&gt;"",IF('Linfit Worksheet'!L21&lt;&gt;"",'Linfit Worksheet'!K21,""),"")</f>
        <v/>
      </c>
      <c r="C48" s="495" t="n"/>
      <c r="D48" s="496" t="n"/>
      <c r="E48" s="376">
        <f>IF('Linfit Worksheet'!K21&lt;&gt;"",IF('Linfit Worksheet'!L21&lt;&gt;"",'Linfit Worksheet'!L21,""),"")</f>
        <v/>
      </c>
      <c r="F48" s="495" t="n"/>
      <c r="G48" s="496" t="n"/>
      <c r="H48" s="535">
        <f>IF('Linfit Worksheet'!K21&lt;&gt;"",IF('Linfit Worksheet'!L21&lt;&gt;"",'Linfit Worksheet'!N21,""),"")</f>
        <v/>
      </c>
      <c r="I48" s="495" t="n"/>
      <c r="J48" s="496" t="n"/>
      <c r="L48" s="430" t="inlineStr">
        <is>
          <t>As Left:</t>
        </is>
      </c>
      <c r="O48" s="431" t="n"/>
      <c r="P48" s="358" t="n"/>
      <c r="Q48" s="358" t="n"/>
      <c r="R48" s="358" t="n"/>
      <c r="S48" s="358" t="n"/>
      <c r="T48" s="358" t="n"/>
      <c r="U48" s="430" t="inlineStr">
        <is>
          <t>Humidity:</t>
        </is>
      </c>
      <c r="Y48" s="454" t="n"/>
      <c r="Z48" s="358" t="n"/>
      <c r="AA48" s="51" t="inlineStr">
        <is>
          <t>%</t>
        </is>
      </c>
      <c r="AC48" s="5" t="n"/>
    </row>
    <row r="49" ht="12.95" customHeight="1" s="369">
      <c r="A49" s="4" t="n"/>
      <c r="B49" s="374">
        <f>IF('Linfit Worksheet'!K22&lt;&gt;"",IF('Linfit Worksheet'!L22&lt;&gt;"",'Linfit Worksheet'!K22,""),"")</f>
        <v/>
      </c>
      <c r="C49" s="495" t="n"/>
      <c r="D49" s="496" t="n"/>
      <c r="E49" s="376">
        <f>IF('Linfit Worksheet'!K22&lt;&gt;"",IF('Linfit Worksheet'!L22&lt;&gt;"",'Linfit Worksheet'!L22,""),"")</f>
        <v/>
      </c>
      <c r="F49" s="495" t="n"/>
      <c r="G49" s="496" t="n"/>
      <c r="H49" s="535">
        <f>IF('Linfit Worksheet'!K22&lt;&gt;"",IF('Linfit Worksheet'!L22&lt;&gt;"",'Linfit Worksheet'!N22,""),"")</f>
        <v/>
      </c>
      <c r="I49" s="495" t="n"/>
      <c r="J49" s="496" t="n"/>
      <c r="AC49" s="5" t="n"/>
    </row>
    <row r="50" ht="12.95" customHeight="1" s="369">
      <c r="A50" s="4" t="n"/>
      <c r="B50" s="374">
        <f>IF('Linfit Worksheet'!K23&lt;&gt;"",IF('Linfit Worksheet'!L23&lt;&gt;"",'Linfit Worksheet'!K23,""),"")</f>
        <v/>
      </c>
      <c r="C50" s="495" t="n"/>
      <c r="D50" s="496" t="n"/>
      <c r="E50" s="376">
        <f>IF('Linfit Worksheet'!K23&lt;&gt;"",IF('Linfit Worksheet'!L23&lt;&gt;"",'Linfit Worksheet'!L23,""),"")</f>
        <v/>
      </c>
      <c r="F50" s="495" t="n"/>
      <c r="G50" s="496" t="n"/>
      <c r="H50" s="535">
        <f>IF('Linfit Worksheet'!K23&lt;&gt;"",IF('Linfit Worksheet'!L23&lt;&gt;"",'Linfit Worksheet'!N23,""),"")</f>
        <v/>
      </c>
      <c r="I50" s="495" t="n"/>
      <c r="J50" s="496" t="n"/>
      <c r="AC50" s="5" t="n"/>
    </row>
    <row r="51" ht="12.95" customHeight="1" s="369">
      <c r="A51" s="4" t="n"/>
      <c r="B51" s="374">
        <f>IF('Linfit Worksheet'!K24&lt;&gt;"",IF('Linfit Worksheet'!L24&lt;&gt;"",'Linfit Worksheet'!K24,""),"")</f>
        <v/>
      </c>
      <c r="C51" s="495" t="n"/>
      <c r="D51" s="496" t="n"/>
      <c r="E51" s="376">
        <f>IF('Linfit Worksheet'!K24&lt;&gt;"",IF('Linfit Worksheet'!L24&lt;&gt;"",'Linfit Worksheet'!L24,""),"")</f>
        <v/>
      </c>
      <c r="F51" s="495" t="n"/>
      <c r="G51" s="496" t="n"/>
      <c r="H51" s="535">
        <f>IF('Linfit Worksheet'!K24&lt;&gt;"",IF('Linfit Worksheet'!L24&lt;&gt;"",'Linfit Worksheet'!N24,""),"")</f>
        <v/>
      </c>
      <c r="I51" s="495" t="n"/>
      <c r="J51" s="496" t="n"/>
      <c r="L51" s="492" t="inlineStr">
        <is>
          <t>Approval Information</t>
        </is>
      </c>
      <c r="AC51" s="5" t="n"/>
    </row>
    <row r="52" ht="12.95" customHeight="1" s="369">
      <c r="A52" s="4" t="n"/>
      <c r="B52" s="374">
        <f>IF('Linfit Worksheet'!K25&lt;&gt;"",IF('Linfit Worksheet'!L25&lt;&gt;"",'Linfit Worksheet'!K25,""),"")</f>
        <v/>
      </c>
      <c r="C52" s="495" t="n"/>
      <c r="D52" s="496" t="n"/>
      <c r="E52" s="376">
        <f>IF('Linfit Worksheet'!K25&lt;&gt;"",IF('Linfit Worksheet'!L25&lt;&gt;"",'Linfit Worksheet'!L25,""),"")</f>
        <v/>
      </c>
      <c r="F52" s="495" t="n"/>
      <c r="G52" s="496" t="n"/>
      <c r="H52" s="535">
        <f>IF('Linfit Worksheet'!K25&lt;&gt;"",IF('Linfit Worksheet'!L25&lt;&gt;"",'Linfit Worksheet'!N25,""),"")</f>
        <v/>
      </c>
      <c r="I52" s="495" t="n"/>
      <c r="J52" s="496" t="n"/>
      <c r="L52" s="430" t="inlineStr">
        <is>
          <t>Technician:</t>
        </is>
      </c>
      <c r="O52" s="431" t="n"/>
      <c r="P52" s="358" t="n"/>
      <c r="Q52" s="358" t="n"/>
      <c r="R52" s="358" t="n"/>
      <c r="S52" s="358" t="n"/>
      <c r="T52" s="358" t="n"/>
      <c r="U52" s="430" t="inlineStr">
        <is>
          <t>Calibration Date:</t>
        </is>
      </c>
      <c r="Y52" s="452" t="n"/>
      <c r="Z52" s="358" t="n"/>
      <c r="AA52" s="358" t="n"/>
      <c r="AB52" s="358" t="n"/>
      <c r="AC52" s="519" t="n"/>
    </row>
    <row r="53" ht="12.95" customHeight="1" s="369">
      <c r="A53" s="4" t="n"/>
      <c r="B53" s="374">
        <f>IF('Linfit Worksheet'!K26&lt;&gt;"",IF('Linfit Worksheet'!L26&lt;&gt;"",'Linfit Worksheet'!K26,""),"")</f>
        <v/>
      </c>
      <c r="C53" s="495" t="n"/>
      <c r="D53" s="496" t="n"/>
      <c r="E53" s="376">
        <f>IF('Linfit Worksheet'!K26&lt;&gt;"",IF('Linfit Worksheet'!L26&lt;&gt;"",'Linfit Worksheet'!L26,""),"")</f>
        <v/>
      </c>
      <c r="F53" s="495" t="n"/>
      <c r="G53" s="496" t="n"/>
      <c r="H53" s="535">
        <f>IF('Linfit Worksheet'!K26&lt;&gt;"",IF('Linfit Worksheet'!L26&lt;&gt;"",'Linfit Worksheet'!N26,""),"")</f>
        <v/>
      </c>
      <c r="I53" s="495" t="n"/>
      <c r="J53" s="496" t="n"/>
      <c r="L53" s="430" t="inlineStr">
        <is>
          <t>Approval:</t>
        </is>
      </c>
      <c r="O53" s="431" t="n"/>
      <c r="P53" s="358" t="n"/>
      <c r="Q53" s="358" t="n"/>
      <c r="R53" s="358" t="n"/>
      <c r="S53" s="358" t="n"/>
      <c r="T53" s="358" t="n"/>
      <c r="U53" s="430" t="inlineStr">
        <is>
          <t>Due Date:</t>
        </is>
      </c>
      <c r="Y53" s="452" t="n"/>
      <c r="Z53" s="358" t="n"/>
      <c r="AA53" s="358" t="n"/>
      <c r="AB53" s="358" t="n"/>
      <c r="AC53" s="519" t="n"/>
    </row>
    <row r="54" ht="12.95" customHeight="1" s="369" thickBot="1">
      <c r="A54" s="4" t="n"/>
      <c r="B54" s="424">
        <f>IF('Linfit Worksheet'!K27&lt;&gt;"",IF('Linfit Worksheet'!L27&lt;&gt;"",'Linfit Worksheet'!K27,""),"")</f>
        <v/>
      </c>
      <c r="C54" s="525" t="n"/>
      <c r="D54" s="526" t="n"/>
      <c r="E54" s="426">
        <f>IF('Linfit Worksheet'!K27&lt;&gt;"",IF('Linfit Worksheet'!L27&lt;&gt;"",'Linfit Worksheet'!L27,""),"")</f>
        <v/>
      </c>
      <c r="F54" s="525" t="n"/>
      <c r="G54" s="526" t="n"/>
      <c r="H54" s="536">
        <f>IF('Linfit Worksheet'!K27&lt;&gt;"",IF('Linfit Worksheet'!L27&lt;&gt;"",'Linfit Worksheet'!N27,""),"")</f>
        <v/>
      </c>
      <c r="I54" s="525" t="n"/>
      <c r="J54" s="526" t="n"/>
      <c r="L54" s="401" t="n"/>
      <c r="M54" s="401" t="n"/>
      <c r="N54" s="401" t="n"/>
      <c r="O54" s="431" t="n"/>
      <c r="P54" s="431" t="n"/>
      <c r="Q54" s="431" t="n"/>
      <c r="R54" s="431" t="n"/>
      <c r="S54" s="431" t="n"/>
      <c r="T54" s="431" t="n"/>
      <c r="U54" s="401" t="n"/>
      <c r="V54" s="401" t="n"/>
      <c r="W54" s="401" t="n"/>
      <c r="X54" s="537" t="n"/>
      <c r="Y54" s="537" t="n"/>
      <c r="Z54" s="537" t="n"/>
      <c r="AA54" s="537" t="n"/>
      <c r="AC54" s="5" t="n"/>
    </row>
    <row r="55" ht="12.95" customHeight="1" s="369" thickBot="1">
      <c r="A55" s="12"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c r="AB55" s="13" t="n"/>
      <c r="AC55" s="14" t="n"/>
    </row>
  </sheetData>
  <sheetProtection selectLockedCells="1" selectUnlockedCells="0" sheet="1" objects="0" insertRows="1" insertHyperlinks="1" autoFilter="1" scenarios="0" formatColumns="1" deleteColumns="1" insertColumns="1" pivotTables="1" deleteRows="1" formatCells="0" formatRows="1" sort="1" password="DD38"/>
  <mergeCells count="158">
    <mergeCell ref="B42:D42"/>
    <mergeCell ref="Y47:Z47"/>
    <mergeCell ref="U52:X52"/>
    <mergeCell ref="E31:G31"/>
    <mergeCell ref="AB5:AC5"/>
    <mergeCell ref="E40:G40"/>
    <mergeCell ref="E5:I5"/>
    <mergeCell ref="B44:D44"/>
    <mergeCell ref="B53:D53"/>
    <mergeCell ref="B34:D34"/>
    <mergeCell ref="B37:D37"/>
    <mergeCell ref="B30:D30"/>
    <mergeCell ref="O52:T52"/>
    <mergeCell ref="B6:D6"/>
    <mergeCell ref="R5:T5"/>
    <mergeCell ref="H30:J30"/>
    <mergeCell ref="Y8:AA8"/>
    <mergeCell ref="L48:N48"/>
    <mergeCell ref="A2:AC2"/>
    <mergeCell ref="B54:D54"/>
    <mergeCell ref="H38:J38"/>
    <mergeCell ref="AB7:AC7"/>
    <mergeCell ref="B28:D29"/>
    <mergeCell ref="E42:G42"/>
    <mergeCell ref="E7:I7"/>
    <mergeCell ref="H44:J44"/>
    <mergeCell ref="O9:Q9"/>
    <mergeCell ref="H31:J31"/>
    <mergeCell ref="L47:N47"/>
    <mergeCell ref="H40:J40"/>
    <mergeCell ref="E35:G35"/>
    <mergeCell ref="B43:D43"/>
    <mergeCell ref="E44:G44"/>
    <mergeCell ref="A11:AC25"/>
    <mergeCell ref="H28:J29"/>
    <mergeCell ref="O5:Q5"/>
    <mergeCell ref="Y5:AA5"/>
    <mergeCell ref="H51:J51"/>
    <mergeCell ref="Y53:AC53"/>
    <mergeCell ref="B8:D8"/>
    <mergeCell ref="O41:AC41"/>
    <mergeCell ref="E30:G30"/>
    <mergeCell ref="L30:AC30"/>
    <mergeCell ref="E46:G46"/>
    <mergeCell ref="Y6:AA6"/>
    <mergeCell ref="O43:AC43"/>
    <mergeCell ref="L41:N41"/>
    <mergeCell ref="L29:AC29"/>
    <mergeCell ref="O42:AC42"/>
    <mergeCell ref="L52:N52"/>
    <mergeCell ref="L31:AC31"/>
    <mergeCell ref="E54:G54"/>
    <mergeCell ref="H33:J33"/>
    <mergeCell ref="E32:G32"/>
    <mergeCell ref="B27:E27"/>
    <mergeCell ref="B5:D5"/>
    <mergeCell ref="H42:J42"/>
    <mergeCell ref="E41:G41"/>
    <mergeCell ref="B36:D36"/>
    <mergeCell ref="E6:I6"/>
    <mergeCell ref="B45:D45"/>
    <mergeCell ref="J7:N7"/>
    <mergeCell ref="E47:G47"/>
    <mergeCell ref="R9:T9"/>
    <mergeCell ref="U48:X48"/>
    <mergeCell ref="O7:Q7"/>
    <mergeCell ref="H35:J35"/>
    <mergeCell ref="E43:G43"/>
    <mergeCell ref="O37:AC37"/>
    <mergeCell ref="B47:D47"/>
    <mergeCell ref="E33:G33"/>
    <mergeCell ref="B31:D31"/>
    <mergeCell ref="B46:D46"/>
    <mergeCell ref="V5:X5"/>
    <mergeCell ref="L32:AC32"/>
    <mergeCell ref="U47:X47"/>
    <mergeCell ref="O53:T53"/>
    <mergeCell ref="B10:H10"/>
    <mergeCell ref="B39:D39"/>
    <mergeCell ref="B48:D48"/>
    <mergeCell ref="R6:T6"/>
    <mergeCell ref="B4:F4"/>
    <mergeCell ref="H46:J46"/>
    <mergeCell ref="J5:N5"/>
    <mergeCell ref="H52:J52"/>
    <mergeCell ref="L33:AC33"/>
    <mergeCell ref="E34:G34"/>
    <mergeCell ref="E8:I8"/>
    <mergeCell ref="H45:J45"/>
    <mergeCell ref="H32:J32"/>
    <mergeCell ref="L35:AC35"/>
    <mergeCell ref="E36:G36"/>
    <mergeCell ref="E45:G45"/>
    <mergeCell ref="B49:D49"/>
    <mergeCell ref="H47:J47"/>
    <mergeCell ref="O40:AC40"/>
    <mergeCell ref="V7:X7"/>
    <mergeCell ref="AB9:AC9"/>
    <mergeCell ref="B51:D51"/>
    <mergeCell ref="J4:N4"/>
    <mergeCell ref="B41:D41"/>
    <mergeCell ref="E37:G37"/>
    <mergeCell ref="B35:D35"/>
    <mergeCell ref="B50:D50"/>
    <mergeCell ref="V4:AB4"/>
    <mergeCell ref="E28:G29"/>
    <mergeCell ref="H53:J53"/>
    <mergeCell ref="O6:Q6"/>
    <mergeCell ref="H50:J50"/>
    <mergeCell ref="L53:N53"/>
    <mergeCell ref="H34:J34"/>
    <mergeCell ref="O36:AC36"/>
    <mergeCell ref="H39:J39"/>
    <mergeCell ref="E51:G51"/>
    <mergeCell ref="O45:AC45"/>
    <mergeCell ref="J8:N8"/>
    <mergeCell ref="H49:J49"/>
    <mergeCell ref="H36:J36"/>
    <mergeCell ref="AB6:AC6"/>
    <mergeCell ref="V9:X9"/>
    <mergeCell ref="O44:AC44"/>
    <mergeCell ref="B38:D38"/>
    <mergeCell ref="V6:X6"/>
    <mergeCell ref="Y7:AA7"/>
    <mergeCell ref="J9:N9"/>
    <mergeCell ref="E49:G49"/>
    <mergeCell ref="H37:J37"/>
    <mergeCell ref="O47:T47"/>
    <mergeCell ref="B40:D40"/>
    <mergeCell ref="O8:Q8"/>
    <mergeCell ref="O48:T48"/>
    <mergeCell ref="H48:J48"/>
    <mergeCell ref="B33:D33"/>
    <mergeCell ref="L34:AC34"/>
    <mergeCell ref="O38:AC38"/>
    <mergeCell ref="B32:D32"/>
    <mergeCell ref="E53:G53"/>
    <mergeCell ref="Y52:AC52"/>
    <mergeCell ref="E50:G50"/>
    <mergeCell ref="R8:T8"/>
    <mergeCell ref="B7:D7"/>
    <mergeCell ref="AB8:AC8"/>
    <mergeCell ref="H43:J43"/>
    <mergeCell ref="H54:J54"/>
    <mergeCell ref="E52:G52"/>
    <mergeCell ref="Y48:Z48"/>
    <mergeCell ref="U53:X53"/>
    <mergeCell ref="H41:J41"/>
    <mergeCell ref="E39:G39"/>
    <mergeCell ref="V8:X8"/>
    <mergeCell ref="Y9:AA9"/>
    <mergeCell ref="E48:G48"/>
    <mergeCell ref="L27:M27"/>
    <mergeCell ref="B52:D52"/>
    <mergeCell ref="L28:AC28"/>
    <mergeCell ref="R7:T7"/>
    <mergeCell ref="O39:AC39"/>
    <mergeCell ref="E38:G38"/>
  </mergeCells>
  <pageMargins left="0.35" right="0.35" top="0.7" bottom="0.4" header="0.5" footer="0.3"/>
  <pageSetup orientation="portrait"/>
  <headerFooter>
    <oddHeader/>
    <oddFooter>&amp;Rpage 1 of 1</oddFooter>
    <evenHeader/>
    <evenFooter/>
    <firstHeader/>
    <firstFooter/>
  </headerFooter>
  <drawing r:id="rId1"/>
</worksheet>
</file>

<file path=xl/worksheets/sheet8.xml><?xml version="1.0" encoding="utf-8"?>
<worksheet xmlns="http://schemas.openxmlformats.org/spreadsheetml/2006/main">
  <sheetPr codeName="Sheet5">
    <outlinePr summaryBelow="1" summaryRight="1"/>
    <pageSetUpPr/>
  </sheetPr>
  <dimension ref="I4:W12"/>
  <sheetViews>
    <sheetView workbookViewId="0">
      <selection activeCell="B6" sqref="B6"/>
    </sheetView>
  </sheetViews>
  <sheetFormatPr baseColWidth="8" defaultRowHeight="15"/>
  <cols>
    <col width="25.42578125" customWidth="1" style="369" min="1" max="1"/>
    <col width="14.5703125" bestFit="1" customWidth="1" style="369" min="2" max="2"/>
    <col width="21.140625" bestFit="1" customWidth="1" style="369" min="3" max="3"/>
    <col width="18.7109375" customWidth="1" style="369" min="4" max="4"/>
    <col width="14.28515625" bestFit="1" customWidth="1" style="369" min="5" max="5"/>
    <col width="14.7109375" bestFit="1" customWidth="1" style="369" min="6" max="6"/>
    <col width="24.85546875" bestFit="1" customWidth="1" style="369" min="7" max="7"/>
    <col width="28.7109375" bestFit="1" customWidth="1" style="369" min="8" max="8"/>
    <col width="24.85546875" bestFit="1" customWidth="1" style="369" min="9" max="9"/>
  </cols>
  <sheetData>
    <row r="4">
      <c r="M4" t="n">
        <v>0</v>
      </c>
      <c r="N4" t="n">
        <v>0</v>
      </c>
      <c r="O4" t="n">
        <v>0</v>
      </c>
      <c r="P4" t="n">
        <v>0</v>
      </c>
      <c r="Q4" t="n">
        <v>0</v>
      </c>
      <c r="R4" t="n">
        <v>0</v>
      </c>
      <c r="S4" t="n">
        <v>0</v>
      </c>
      <c r="T4" t="n">
        <v>0</v>
      </c>
      <c r="U4" t="n">
        <v>0</v>
      </c>
      <c r="V4" t="n">
        <v>0</v>
      </c>
      <c r="W4" t="n">
        <v>0</v>
      </c>
    </row>
    <row r="12">
      <c r="I12" t="b">
        <v>0</v>
      </c>
    </row>
  </sheetData>
  <pageMargins left="0.7" right="0.7" top="0.75" bottom="0.75" header="0.3" footer="0.3"/>
  <pageSetup orientation="portrait"/>
</worksheet>
</file>

<file path=xl/worksheets/sheet9.xml><?xml version="1.0" encoding="utf-8"?>
<worksheet xmlns="http://schemas.openxmlformats.org/spreadsheetml/2006/main">
  <sheetPr codeName="Sheet6">
    <outlinePr summaryBelow="1" summaryRight="1"/>
    <pageSetUpPr/>
  </sheetPr>
  <dimension ref="A1:A1"/>
  <sheetViews>
    <sheetView workbookViewId="0">
      <selection activeCell="A6" sqref="A6"/>
    </sheetView>
  </sheetViews>
  <sheetFormatPr baseColWidth="8" defaultRowHeight="15"/>
  <cols>
    <col width="26" customWidth="1" style="369" min="1" max="1"/>
    <col width="14.5703125" bestFit="1" customWidth="1" style="369" min="2" max="2"/>
    <col width="14.140625" bestFit="1" customWidth="1" style="369" min="3" max="3"/>
    <col width="8.42578125" bestFit="1" customWidth="1" style="369" min="4" max="4"/>
    <col width="14.28515625" bestFit="1" customWidth="1" style="369" min="5" max="5"/>
    <col width="14.7109375" bestFit="1" customWidth="1" style="369" min="6" max="6"/>
    <col width="20" bestFit="1" customWidth="1" style="369" min="7" max="7"/>
    <col width="28.7109375" bestFit="1" customWidth="1" style="369" min="8" max="8"/>
    <col width="24.85546875" bestFit="1" customWidth="1" style="369" min="9" max="9"/>
  </cols>
  <sheetData/>
  <pageMargins left="0.7" right="0.7" top="0.75" bottom="0.75" header="0.3" footer="0.3"/>
</worksheet>
</file>

<file path=xl/worksheets/sheet10.xml><?xml version="1.0" encoding="utf-8"?>
<worksheet xmlns:r="http://schemas.openxmlformats.org/officeDocument/2006/relationships" xmlns="http://schemas.openxmlformats.org/spreadsheetml/2006/main">
  <sheetPr codeName="Sheet13">
    <outlinePr summaryBelow="1" summaryRight="1"/>
    <pageSetUpPr/>
  </sheetPr>
  <dimension ref="A1:AO49"/>
  <sheetViews>
    <sheetView tabSelected="1" zoomScaleNormal="100" zoomScaleSheetLayoutView="100" workbookViewId="0">
      <selection activeCell="G33" sqref="G33:N33"/>
    </sheetView>
  </sheetViews>
  <sheetFormatPr baseColWidth="8" defaultColWidth="0" defaultRowHeight="14.25"/>
  <cols>
    <col width="3.7109375" customWidth="1" style="248" min="1" max="1"/>
    <col width="11.7109375" customWidth="1" style="248" min="2" max="2"/>
    <col width="12.7109375" customWidth="1" style="248" min="3" max="3"/>
    <col width="6.7109375" customWidth="1" style="248" min="4" max="4"/>
    <col width="5.7109375" customWidth="1" style="248" min="5" max="6"/>
    <col width="6.7109375" customWidth="1" style="248" min="7" max="7"/>
    <col width="12.7109375" customWidth="1" style="248" min="8" max="8"/>
    <col width="6.7109375" customWidth="1" style="248" min="9" max="9"/>
    <col width="4.7109375" customWidth="1" style="248" min="10" max="10"/>
    <col width="5.7109375" customWidth="1" style="248" min="11" max="12"/>
    <col width="4.7109375" customWidth="1" style="248" min="13" max="13"/>
    <col width="2.7109375" customWidth="1" style="248" min="14" max="14"/>
    <col width="5.7109375" customWidth="1" style="248" min="15" max="15"/>
    <col width="4.7109375" customWidth="1" style="248" min="16" max="17"/>
    <col hidden="1" width="4.7109375" customWidth="1" style="248" min="18" max="49"/>
    <col hidden="1" width="9.140625" customWidth="1" style="248" min="50" max="16384"/>
  </cols>
  <sheetData>
    <row r="1" ht="9.949999999999999" customHeight="1" s="369" thickTop="1">
      <c r="A1" s="244" t="n"/>
      <c r="B1" s="245" t="n"/>
      <c r="C1" s="245" t="n"/>
      <c r="D1" s="245" t="n"/>
      <c r="E1" s="245" t="n"/>
      <c r="F1" s="245" t="n"/>
      <c r="G1" s="245" t="n"/>
      <c r="H1" s="245" t="n"/>
      <c r="I1" s="245" t="n"/>
      <c r="J1" s="245" t="n"/>
      <c r="K1" s="245" t="n"/>
      <c r="L1" s="246" t="n"/>
      <c r="M1" s="246" t="n"/>
      <c r="N1" s="246" t="n"/>
      <c r="O1" s="247" t="n"/>
    </row>
    <row r="2" ht="18.75" customHeight="1" s="369">
      <c r="A2" s="538" t="inlineStr">
        <is>
          <t>~ Vibration Analyzer Certification ~</t>
        </is>
      </c>
      <c r="O2" s="539" t="n"/>
    </row>
    <row r="3" ht="9.75" customHeight="1" s="369">
      <c r="A3" s="249" t="n"/>
      <c r="B3" s="250" t="n"/>
      <c r="C3" s="250" t="n"/>
      <c r="D3" s="250" t="n"/>
      <c r="E3" s="250" t="n"/>
      <c r="F3" s="250" t="n"/>
      <c r="G3" s="250" t="n"/>
      <c r="H3" s="250" t="n"/>
      <c r="I3" s="250" t="n"/>
      <c r="J3" s="250" t="n"/>
      <c r="K3" s="250" t="n"/>
      <c r="O3" s="251" t="n"/>
    </row>
    <row r="4">
      <c r="A4" s="249" t="n"/>
      <c r="B4" s="212" t="inlineStr">
        <is>
          <t>Analyzer/Meter Information</t>
        </is>
      </c>
      <c r="C4" s="252" t="n"/>
      <c r="D4" s="205" t="n"/>
      <c r="E4" s="212" t="inlineStr">
        <is>
          <t>Analyzer Settings</t>
        </is>
      </c>
      <c r="F4" s="219" t="n"/>
      <c r="G4" s="252" t="n"/>
      <c r="H4" s="252" t="n"/>
      <c r="J4" s="212" t="inlineStr">
        <is>
          <t>Frequency Response Test</t>
        </is>
      </c>
      <c r="K4" s="212" t="n"/>
      <c r="L4" s="212" t="n"/>
      <c r="M4" s="212" t="n"/>
      <c r="N4" s="212" t="n"/>
      <c r="O4" s="291" t="n"/>
      <c r="Q4" s="215" t="n"/>
      <c r="R4" s="215" t="n"/>
      <c r="S4" s="215" t="n"/>
      <c r="T4" s="215" t="n"/>
      <c r="U4" s="215" t="n"/>
      <c r="V4" s="215" t="n"/>
      <c r="W4" s="215" t="n"/>
      <c r="X4" s="215" t="n"/>
      <c r="Y4" s="215" t="n"/>
      <c r="Z4" s="215" t="n"/>
      <c r="AA4" s="215" t="n"/>
      <c r="AB4" s="215" t="n"/>
      <c r="AC4" s="215" t="n"/>
      <c r="AD4" s="215" t="n"/>
      <c r="AE4" s="215" t="n"/>
      <c r="AF4" s="207" t="n"/>
      <c r="AH4" s="215" t="n"/>
      <c r="AI4" s="215" t="n"/>
      <c r="AJ4" s="215" t="n"/>
      <c r="AK4" s="215" t="n"/>
      <c r="AL4" s="215" t="n"/>
      <c r="AM4" s="215" t="n"/>
      <c r="AN4" s="215" t="n"/>
      <c r="AO4" s="215" t="n"/>
    </row>
    <row r="5">
      <c r="A5" s="249" t="n"/>
      <c r="B5" s="464" t="inlineStr">
        <is>
          <t xml:space="preserve">Manufacturer: </t>
        </is>
      </c>
      <c r="C5" s="462">
        <f>IF('Vib Analyzer Data'!C5="","",'Vib Analyzer Data'!C5)</f>
        <v/>
      </c>
      <c r="D5" s="205" t="n"/>
      <c r="E5" s="464" t="inlineStr">
        <is>
          <t xml:space="preserve">Analyzer mode: </t>
        </is>
      </c>
      <c r="H5" s="468">
        <f>IF('Vib Analyzer Data'!H5="","",LOOKUP('Vib Analyzer Data'!H5,RouteRaw!U3:V6))</f>
        <v/>
      </c>
      <c r="K5" s="205" t="n"/>
      <c r="L5" s="464" t="inlineStr">
        <is>
          <t xml:space="preserve">Test Amplitude: </t>
        </is>
      </c>
      <c r="M5" s="463" t="n">
        <v>1</v>
      </c>
      <c r="O5" s="539" t="n"/>
      <c r="P5" s="205" t="n"/>
      <c r="R5" s="205" t="n"/>
      <c r="S5" s="205" t="n"/>
      <c r="T5" s="205" t="n"/>
      <c r="U5" s="205" t="n"/>
      <c r="V5" s="205" t="n"/>
      <c r="W5" s="205" t="n"/>
      <c r="X5" s="205" t="n"/>
      <c r="Y5" s="205" t="n"/>
      <c r="Z5" s="205" t="n"/>
      <c r="AA5" s="205" t="n"/>
      <c r="AB5" s="205" t="n"/>
      <c r="AC5" s="205" t="n"/>
      <c r="AD5" s="205" t="n"/>
      <c r="AE5" s="205" t="n"/>
      <c r="AF5" s="468" t="n"/>
      <c r="AH5" s="205" t="n"/>
      <c r="AI5" s="205" t="n"/>
      <c r="AJ5" s="205" t="n"/>
      <c r="AK5" s="205" t="n"/>
      <c r="AM5" s="205" t="n"/>
      <c r="AN5" s="205" t="n"/>
      <c r="AO5" s="205" t="n"/>
    </row>
    <row r="6">
      <c r="A6" s="249" t="n"/>
      <c r="B6" s="464" t="inlineStr">
        <is>
          <t xml:space="preserve">MN: </t>
        </is>
      </c>
      <c r="C6" s="462">
        <f>IF('Vib Analyzer Data'!C6="","",'Vib Analyzer Data'!C6)</f>
        <v/>
      </c>
      <c r="D6" s="205" t="n"/>
      <c r="E6" s="464" t="inlineStr">
        <is>
          <t xml:space="preserve">Frequency Max: </t>
        </is>
      </c>
      <c r="H6" s="468">
        <f>IF('Vib Analyzer Data'!H6="","",'Vib Analyzer Data'!H6)</f>
        <v/>
      </c>
      <c r="I6" s="462" t="n"/>
      <c r="K6" s="205" t="n"/>
      <c r="L6" s="464" t="inlineStr">
        <is>
          <t xml:space="preserve">Amplitude Unit: </t>
        </is>
      </c>
      <c r="M6" s="463" t="inlineStr">
        <is>
          <t>mm/s pk</t>
        </is>
      </c>
      <c r="O6" s="539" t="n"/>
      <c r="P6" s="205" t="n"/>
      <c r="R6" s="205" t="n"/>
      <c r="S6" s="205" t="n"/>
      <c r="T6" s="205" t="n"/>
      <c r="U6" s="205" t="n"/>
      <c r="V6" s="205" t="n"/>
      <c r="W6" s="205" t="n"/>
      <c r="X6" s="205" t="n"/>
      <c r="Y6" s="205" t="n"/>
      <c r="Z6" s="205" t="n"/>
      <c r="AA6" s="205" t="n"/>
      <c r="AB6" s="205" t="n"/>
      <c r="AC6" s="205" t="n"/>
      <c r="AD6" s="205" t="n"/>
      <c r="AE6" s="205" t="n"/>
      <c r="AF6" s="468" t="n"/>
      <c r="AH6" s="205" t="n"/>
      <c r="AI6" s="205" t="n"/>
      <c r="AJ6" s="205" t="n"/>
      <c r="AK6" s="205" t="n"/>
      <c r="AM6" s="205" t="n"/>
      <c r="AN6" s="205" t="n"/>
      <c r="AO6" s="205" t="n"/>
    </row>
    <row r="7">
      <c r="A7" s="249" t="n"/>
      <c r="B7" s="464" t="inlineStr">
        <is>
          <t xml:space="preserve">SN: </t>
        </is>
      </c>
      <c r="C7" s="462">
        <f>IF('Vib Analyzer Data'!C7="","",'Vib Analyzer Data'!C7)</f>
        <v/>
      </c>
      <c r="D7" s="205" t="n"/>
      <c r="E7" s="464" t="inlineStr">
        <is>
          <t xml:space="preserve">Min: </t>
        </is>
      </c>
      <c r="H7" s="468">
        <f>IF('Vib Analyzer Data'!H7="","",'Vib Analyzer Data'!H7)</f>
        <v/>
      </c>
      <c r="K7" s="205" t="n"/>
      <c r="L7" s="464" t="inlineStr">
        <is>
          <t xml:space="preserve">Frequency Unit: </t>
        </is>
      </c>
      <c r="M7" s="463" t="inlineStr">
        <is>
          <t>Hz</t>
        </is>
      </c>
      <c r="O7" s="539" t="n"/>
      <c r="P7" s="205" t="n"/>
      <c r="R7" s="205" t="n"/>
      <c r="S7" s="205" t="n"/>
      <c r="T7" s="205" t="n"/>
      <c r="U7" s="205" t="n"/>
      <c r="V7" s="205" t="n"/>
      <c r="W7" s="205" t="n"/>
      <c r="X7" s="205" t="n"/>
      <c r="Y7" s="205" t="n"/>
      <c r="Z7" s="205" t="n"/>
      <c r="AA7" s="205" t="n"/>
      <c r="AB7" s="205" t="n"/>
      <c r="AC7" s="205" t="n"/>
      <c r="AD7" s="205" t="n"/>
      <c r="AE7" s="205" t="n"/>
      <c r="AF7" s="468" t="n"/>
      <c r="AH7" s="205" t="n"/>
      <c r="AI7" s="205" t="n"/>
      <c r="AJ7" s="205" t="n"/>
      <c r="AK7" s="205" t="n"/>
      <c r="AM7" s="205" t="n"/>
      <c r="AN7" s="205" t="n"/>
      <c r="AO7" s="205" t="n"/>
    </row>
    <row r="8" ht="14.25" customHeight="1" s="369">
      <c r="A8" s="249" t="n"/>
      <c r="B8" s="464" t="inlineStr">
        <is>
          <t xml:space="preserve">Cal Tech: </t>
        </is>
      </c>
      <c r="C8" s="462">
        <f>IF('Vib Analyzer Data'!C8="","",'Vib Analyzer Data'!C8)</f>
        <v/>
      </c>
      <c r="D8" s="205" t="n"/>
      <c r="E8" s="464" t="inlineStr">
        <is>
          <t xml:space="preserve">Unit: </t>
        </is>
      </c>
      <c r="H8" s="468">
        <f>IF('Vib Analyzer Data'!H8="","",LOOKUP('Vib Analyzer Data'!H8,RouteRaw!K3:L4))</f>
        <v/>
      </c>
      <c r="J8" s="205" t="n"/>
      <c r="K8" s="205" t="n"/>
      <c r="L8" s="464" t="n"/>
      <c r="M8" s="466" t="n"/>
      <c r="O8" s="539" t="n"/>
      <c r="P8" s="205" t="n"/>
      <c r="R8" s="205" t="n"/>
      <c r="S8" s="205" t="n"/>
      <c r="T8" s="205" t="n"/>
      <c r="U8" s="205" t="n"/>
      <c r="V8" s="205" t="n"/>
      <c r="W8" s="205" t="n"/>
      <c r="X8" s="205" t="n"/>
      <c r="Y8" s="205" t="n"/>
      <c r="Z8" s="205" t="n"/>
      <c r="AA8" s="205" t="n"/>
      <c r="AB8" s="205" t="n"/>
      <c r="AC8" s="205" t="n"/>
      <c r="AD8" s="205" t="n"/>
      <c r="AE8" s="205" t="n"/>
      <c r="AF8" s="468" t="n"/>
      <c r="AH8" s="205" t="n"/>
      <c r="AI8" s="205" t="n"/>
      <c r="AJ8" s="205" t="n"/>
      <c r="AK8" s="205" t="n"/>
      <c r="AM8" s="205" t="n"/>
      <c r="AN8" s="205" t="n"/>
      <c r="AO8" s="205" t="n"/>
    </row>
    <row r="9">
      <c r="A9" s="249" t="n"/>
      <c r="B9" s="464" t="inlineStr">
        <is>
          <t xml:space="preserve">Cal date: </t>
        </is>
      </c>
      <c r="C9" s="267">
        <f>IF('Vib Analyzer Data'!C9="","",'Vib Analyzer Data'!C9)</f>
        <v/>
      </c>
      <c r="D9" s="205" t="n"/>
      <c r="E9" s="464" t="inlineStr">
        <is>
          <t xml:space="preserve"># of Line: </t>
        </is>
      </c>
      <c r="H9" s="468">
        <f>IF('Vib Analyzer Data'!H9="","",'Vib Analyzer Data'!H9)</f>
        <v/>
      </c>
      <c r="K9" s="205" t="n"/>
      <c r="L9" s="464" t="n"/>
      <c r="M9" s="463" t="n"/>
      <c r="O9" s="539" t="n"/>
      <c r="P9" s="205" t="n"/>
      <c r="R9" s="253" t="n"/>
      <c r="S9" s="253" t="n"/>
      <c r="T9" s="253" t="n"/>
      <c r="U9" s="253" t="n"/>
      <c r="V9" s="253" t="n"/>
      <c r="W9" s="253" t="n"/>
      <c r="X9" s="253" t="n"/>
      <c r="Y9" s="253" t="n"/>
      <c r="Z9" s="253" t="n"/>
      <c r="AA9" s="253" t="n"/>
      <c r="AB9" s="253" t="n"/>
      <c r="AC9" s="253" t="n"/>
      <c r="AD9" s="253" t="n"/>
      <c r="AE9" s="253" t="n"/>
      <c r="AF9" s="467" t="n"/>
      <c r="AH9" s="205" t="n"/>
      <c r="AI9" s="205" t="n"/>
      <c r="AJ9" s="205" t="n"/>
      <c r="AK9" s="205" t="n"/>
      <c r="AM9" s="205" t="n"/>
      <c r="AN9" s="205" t="n"/>
      <c r="AO9" s="205" t="n"/>
    </row>
    <row r="10">
      <c r="A10" s="249" t="n"/>
      <c r="B10" s="464" t="inlineStr">
        <is>
          <t xml:space="preserve">Cal due: </t>
        </is>
      </c>
      <c r="C10" s="267">
        <f>IF('Vib Analyzer Data'!C10="","",'Vib Analyzer Data'!C10)</f>
        <v/>
      </c>
      <c r="D10" s="205" t="n"/>
      <c r="E10" s="464" t="inlineStr">
        <is>
          <t xml:space="preserve">Averaging Points: </t>
        </is>
      </c>
      <c r="H10" s="468">
        <f>IF('Vib Analyzer Data'!H10="","",'Vib Analyzer Data'!H10)</f>
        <v/>
      </c>
      <c r="K10" s="205" t="n"/>
      <c r="L10" s="464" t="n"/>
      <c r="M10" s="463" t="n"/>
      <c r="O10" s="539" t="n"/>
      <c r="P10" s="205" t="n"/>
      <c r="R10" s="253" t="n"/>
      <c r="S10" s="253" t="n"/>
      <c r="T10" s="253" t="n"/>
      <c r="U10" s="253" t="n"/>
      <c r="V10" s="253" t="n"/>
      <c r="W10" s="253" t="n"/>
      <c r="X10" s="253" t="n"/>
      <c r="Y10" s="253" t="n"/>
      <c r="Z10" s="253" t="n"/>
      <c r="AA10" s="253" t="n"/>
      <c r="AB10" s="253" t="n"/>
      <c r="AC10" s="253" t="n"/>
      <c r="AD10" s="253" t="n"/>
      <c r="AE10" s="253" t="n"/>
      <c r="AF10" s="467" t="n"/>
      <c r="AH10" s="205" t="n"/>
      <c r="AI10" s="205" t="n"/>
      <c r="AJ10" s="205" t="n"/>
      <c r="AK10" s="205" t="n"/>
      <c r="AM10" s="205" t="n"/>
      <c r="AN10" s="205" t="n"/>
      <c r="AO10" s="205" t="n"/>
    </row>
    <row r="11">
      <c r="A11" s="249" t="n"/>
      <c r="B11" s="464" t="n"/>
      <c r="C11" s="253" t="n"/>
      <c r="D11" s="205" t="n"/>
      <c r="E11" s="464" t="inlineStr">
        <is>
          <t xml:space="preserve">Window Type: </t>
        </is>
      </c>
      <c r="H11" s="468">
        <f>IF('Vib Analyzer Data'!H11="","",LOOKUP('Vib Analyzer Data'!H11,RouteRaw!G3:H6))</f>
        <v/>
      </c>
      <c r="K11" s="205" t="n"/>
      <c r="L11" s="464" t="n"/>
      <c r="M11" s="463" t="n"/>
      <c r="O11" s="539" t="n"/>
      <c r="P11" s="205" t="n"/>
      <c r="R11" s="253" t="n"/>
      <c r="S11" s="253" t="n"/>
      <c r="T11" s="253" t="n"/>
      <c r="U11" s="253" t="n"/>
      <c r="V11" s="253" t="n"/>
      <c r="W11" s="253" t="n"/>
      <c r="X11" s="253" t="n"/>
      <c r="Y11" s="253" t="n"/>
      <c r="Z11" s="253" t="n"/>
      <c r="AA11" s="253" t="n"/>
      <c r="AB11" s="253" t="n"/>
      <c r="AC11" s="253" t="n"/>
      <c r="AD11" s="253" t="n"/>
      <c r="AE11" s="253" t="n"/>
      <c r="AF11" s="467" t="n"/>
      <c r="AH11" s="205" t="n"/>
      <c r="AI11" s="205" t="n"/>
      <c r="AJ11" s="205" t="n"/>
      <c r="AK11" s="205" t="n"/>
      <c r="AM11" s="205" t="n"/>
      <c r="AN11" s="205" t="n"/>
      <c r="AO11" s="205" t="n"/>
    </row>
    <row r="12" ht="14.25" customHeight="1" s="369">
      <c r="A12" s="249" t="n"/>
      <c r="B12" s="205" t="n"/>
      <c r="C12" s="205" t="n"/>
      <c r="D12" s="205" t="n"/>
      <c r="E12" s="205" t="n"/>
      <c r="F12" s="205" t="n"/>
      <c r="G12" s="464" t="inlineStr">
        <is>
          <t xml:space="preserve">Analyzer Sensor Input Sensitivity: </t>
        </is>
      </c>
      <c r="H12" s="468">
        <f>IF('Vib Analyzer Data'!H12="","",'Vib Analyzer Data'!H12)</f>
        <v/>
      </c>
      <c r="I12" s="462">
        <f>IF('Vib Analyzer Data'!H13="","",LOOKUP('Vib Analyzer Data'!H13,RouteRaw!I3:J4))</f>
        <v/>
      </c>
      <c r="J12" s="205" t="n"/>
      <c r="K12" s="205" t="n"/>
      <c r="O12" s="251" t="n"/>
    </row>
    <row r="13">
      <c r="A13" s="249" t="n"/>
      <c r="B13" s="215" t="inlineStr">
        <is>
          <t>Test Equipment</t>
        </is>
      </c>
      <c r="C13" s="215" t="n"/>
      <c r="D13" s="215" t="n"/>
      <c r="E13" s="215" t="n"/>
      <c r="F13" s="215" t="n"/>
      <c r="G13" s="215" t="n"/>
      <c r="H13" s="215" t="n"/>
      <c r="I13" s="215" t="n"/>
      <c r="J13" s="215" t="n"/>
      <c r="K13" s="205" t="n"/>
      <c r="O13" s="251" t="n"/>
    </row>
    <row r="14" customFormat="1" s="257">
      <c r="A14" s="254" t="n"/>
      <c r="B14" s="469" t="inlineStr">
        <is>
          <t>Description</t>
        </is>
      </c>
      <c r="C14" s="469" t="inlineStr">
        <is>
          <t>MN</t>
        </is>
      </c>
      <c r="D14" s="469" t="inlineStr">
        <is>
          <t>SN</t>
        </is>
      </c>
      <c r="E14" s="196" t="n"/>
      <c r="F14" s="469" t="inlineStr">
        <is>
          <t>Cal. Date</t>
        </is>
      </c>
      <c r="G14" s="196" t="n"/>
      <c r="H14" s="472" t="inlineStr">
        <is>
          <t>Sensitivity @ 100 Hz</t>
        </is>
      </c>
      <c r="I14" s="196" t="n"/>
      <c r="J14" s="473" t="inlineStr">
        <is>
          <t>% Tolerance</t>
        </is>
      </c>
      <c r="L14" s="474" t="inlineStr">
        <is>
          <t>% Deviation</t>
        </is>
      </c>
      <c r="M14" s="196" t="n"/>
      <c r="N14" s="255" t="n"/>
      <c r="O14" s="256" t="n"/>
    </row>
    <row r="15">
      <c r="A15" s="249" t="n"/>
      <c r="B15" s="207" t="inlineStr">
        <is>
          <t>PVC</t>
        </is>
      </c>
      <c r="C15" s="468">
        <f>IF('Vib Analyzer Data'!C16="","",'Vib Analyzer Data'!C16)</f>
        <v/>
      </c>
      <c r="D15" s="471">
        <f>IF('Vib Analyzer Data'!D16:E16="","",'Vib Analyzer Data'!D16:E16)</f>
        <v/>
      </c>
      <c r="E15" s="540" t="n"/>
      <c r="F15" s="470">
        <f>IF('Vib Analyzer Data'!F16="","",'Vib Analyzer Data'!F16)</f>
        <v/>
      </c>
      <c r="G15" s="540" t="n"/>
      <c r="H15" s="238">
        <f>IF('Vib Analyzer Data'!G16="","",'Vib Analyzer Data'!G16)</f>
        <v/>
      </c>
      <c r="I15" s="238">
        <f>IF('Vib Analyzer Data'!H16="","",'Vib Analyzer Data'!H16)</f>
        <v/>
      </c>
      <c r="J15" s="475">
        <f>IF('Vib Analyzer Data'!K16="","",'Vib Analyzer Data'!K16)</f>
        <v/>
      </c>
      <c r="K15" s="540" t="n"/>
      <c r="L15" s="475">
        <f>IF('Vib Analyzer Data'!L16="","",'Vib Analyzer Data'!L16)</f>
        <v/>
      </c>
      <c r="M15" s="540" t="n"/>
      <c r="O15" s="251" t="n"/>
    </row>
    <row r="16">
      <c r="A16" s="249" t="n"/>
      <c r="B16" s="207" t="inlineStr">
        <is>
          <t>Sensor</t>
        </is>
      </c>
      <c r="C16" s="468">
        <f>IF('Vib Analyzer Data'!C17="","",'Vib Analyzer Data'!C17)</f>
        <v/>
      </c>
      <c r="D16" s="468">
        <f>IF('Vib Analyzer Data'!D17:E17="","",'Vib Analyzer Data'!D17:E17)</f>
        <v/>
      </c>
      <c r="F16" s="467">
        <f>IF('Vib Analyzer Data'!F17="","",'Vib Analyzer Data'!F17)</f>
        <v/>
      </c>
      <c r="H16" s="238">
        <f>IF('Vib Analyzer Data'!G17="","",'Vib Analyzer Data'!G17)</f>
        <v/>
      </c>
      <c r="I16" s="238">
        <f>IF('Vib Analyzer Data'!H17="","",'Vib Analyzer Data'!H17)</f>
        <v/>
      </c>
      <c r="J16" s="476">
        <f>IF('Vib Analyzer Data'!K17="","",'Vib Analyzer Data'!K17)</f>
        <v/>
      </c>
      <c r="L16" s="476">
        <f>IF('Vib Analyzer Data'!L17="","",'Vib Analyzer Data'!L17)</f>
        <v/>
      </c>
      <c r="O16" s="251" t="n"/>
    </row>
    <row r="17">
      <c r="A17" s="249" t="n"/>
      <c r="B17" s="207" t="inlineStr">
        <is>
          <t>DMM</t>
        </is>
      </c>
      <c r="C17" s="468">
        <f>IF('Vib Analyzer Data'!C18="","",'Vib Analyzer Data'!C18)</f>
        <v/>
      </c>
      <c r="D17" s="468">
        <f>IF('Vib Analyzer Data'!D18:E18="","",'Vib Analyzer Data'!D18:E18)</f>
        <v/>
      </c>
      <c r="F17" s="467">
        <f>IF('Vib Analyzer Data'!F18="","",'Vib Analyzer Data'!F18)</f>
        <v/>
      </c>
      <c r="H17" s="467" t="n"/>
      <c r="O17" s="251" t="n"/>
    </row>
    <row r="18" ht="15" customHeight="1" s="369">
      <c r="A18" s="249" t="n"/>
      <c r="C18" s="258" t="n"/>
      <c r="D18" s="258" t="n"/>
      <c r="E18" s="259" t="n"/>
      <c r="F18" s="259" t="n"/>
      <c r="G18" s="205" t="n"/>
      <c r="I18" s="258" t="n"/>
      <c r="J18" s="258" t="n"/>
      <c r="K18" s="205" t="n"/>
      <c r="O18" s="251" t="n"/>
    </row>
    <row r="19" ht="15" customHeight="1" s="369">
      <c r="A19" s="249" t="n"/>
      <c r="C19" s="468" t="n"/>
      <c r="G19" s="205" t="n"/>
      <c r="I19" s="205" t="n"/>
      <c r="K19" s="205" t="n"/>
      <c r="O19" s="251" t="n"/>
    </row>
    <row r="20" ht="17.1" customHeight="1" s="369">
      <c r="A20" s="249" t="n"/>
      <c r="C20" s="205" t="n"/>
      <c r="D20" s="468" t="n"/>
      <c r="E20" s="468" t="n"/>
      <c r="F20" s="468" t="n"/>
      <c r="G20" s="205" t="n"/>
      <c r="I20" s="205" t="n"/>
      <c r="J20" s="205" t="n"/>
      <c r="K20" s="205" t="n"/>
      <c r="O20" s="251" t="n"/>
    </row>
    <row r="21" ht="17.1" customHeight="1" s="369">
      <c r="A21" s="249" t="n"/>
      <c r="B21" s="205" t="n"/>
      <c r="C21" s="205" t="n"/>
      <c r="D21" s="468" t="n"/>
      <c r="E21" s="468" t="n"/>
      <c r="F21" s="468" t="n"/>
      <c r="G21" s="205" t="n"/>
      <c r="H21" s="205" t="n"/>
      <c r="I21" s="205" t="n"/>
      <c r="J21" s="205" t="n"/>
      <c r="K21" s="205" t="n"/>
      <c r="O21" s="251" t="n"/>
    </row>
    <row r="22" ht="15" customHeight="1" s="369">
      <c r="A22" s="249" t="n"/>
      <c r="B22" s="205" t="n"/>
      <c r="C22" s="205" t="n"/>
      <c r="D22" s="205" t="n"/>
      <c r="E22" s="205" t="n"/>
      <c r="F22" s="205" t="n"/>
      <c r="G22" s="205" t="n"/>
      <c r="H22" s="205" t="n"/>
      <c r="I22" s="205" t="n"/>
      <c r="J22" s="205" t="n"/>
      <c r="K22" s="205" t="n"/>
      <c r="O22" s="251" t="n"/>
    </row>
    <row r="23" ht="15" customHeight="1" s="369">
      <c r="A23" s="249" t="n"/>
      <c r="B23" s="260" t="n"/>
      <c r="C23" s="260" t="n"/>
      <c r="D23" s="261" t="n"/>
      <c r="E23" s="261" t="n"/>
      <c r="F23" s="260" t="n"/>
      <c r="G23" s="205" t="n"/>
      <c r="H23" s="260" t="n"/>
      <c r="I23" s="260" t="n"/>
      <c r="J23" s="261" t="n"/>
      <c r="K23" s="261" t="n"/>
      <c r="O23" s="251" t="n"/>
    </row>
    <row r="24">
      <c r="A24" s="249" t="n"/>
      <c r="B24" s="468" t="n"/>
      <c r="C24" s="468" t="n"/>
      <c r="D24" s="262" t="n"/>
      <c r="E24" s="262" t="n"/>
      <c r="F24" s="476" t="n"/>
      <c r="G24" s="205" t="n"/>
      <c r="H24" s="468" t="n"/>
      <c r="I24" s="468" t="n"/>
      <c r="J24" s="262" t="n"/>
      <c r="K24" s="262" t="n"/>
      <c r="O24" s="251" t="n"/>
    </row>
    <row r="25">
      <c r="A25" s="249" t="n"/>
      <c r="B25" s="468" t="n"/>
      <c r="C25" s="468" t="n"/>
      <c r="D25" s="262" t="n"/>
      <c r="E25" s="262" t="n"/>
      <c r="F25" s="476" t="n"/>
      <c r="G25" s="205" t="n"/>
      <c r="H25" s="468" t="n"/>
      <c r="I25" s="468" t="n"/>
      <c r="J25" s="262" t="n"/>
      <c r="K25" s="262" t="n"/>
      <c r="O25" s="251" t="n"/>
    </row>
    <row r="26">
      <c r="A26" s="249" t="n"/>
      <c r="B26" s="468" t="n"/>
      <c r="C26" s="468" t="n"/>
      <c r="D26" s="262" t="n"/>
      <c r="E26" s="262" t="n"/>
      <c r="F26" s="476" t="n"/>
      <c r="G26" s="205" t="n"/>
      <c r="H26" s="468" t="n"/>
      <c r="I26" s="468" t="n"/>
      <c r="J26" s="262" t="n"/>
      <c r="K26" s="262" t="n"/>
      <c r="O26" s="251" t="n"/>
    </row>
    <row r="27">
      <c r="A27" s="249" t="n"/>
      <c r="B27" s="468" t="n"/>
      <c r="C27" s="468" t="n"/>
      <c r="D27" s="262" t="n"/>
      <c r="E27" s="262" t="n"/>
      <c r="F27" s="476" t="n"/>
      <c r="G27" s="205" t="n"/>
      <c r="H27" s="468" t="n"/>
      <c r="I27" s="468" t="n"/>
      <c r="J27" s="262" t="n"/>
      <c r="K27" s="262" t="n"/>
      <c r="O27" s="251" t="n"/>
    </row>
    <row r="28">
      <c r="A28" s="249" t="n"/>
      <c r="B28" s="468" t="n"/>
      <c r="C28" s="468" t="n"/>
      <c r="D28" s="262" t="n"/>
      <c r="E28" s="262" t="n"/>
      <c r="F28" s="476" t="n"/>
      <c r="G28" s="205" t="n"/>
      <c r="H28" s="468" t="n"/>
      <c r="I28" s="468" t="n"/>
      <c r="J28" s="262" t="n"/>
      <c r="K28" s="262" t="n"/>
      <c r="O28" s="251" t="n"/>
    </row>
    <row r="29">
      <c r="A29" s="249" t="n"/>
      <c r="B29" s="468" t="n"/>
      <c r="C29" s="468" t="n"/>
      <c r="D29" s="262" t="n"/>
      <c r="E29" s="262" t="n"/>
      <c r="F29" s="476" t="n"/>
      <c r="G29" s="205" t="n"/>
      <c r="H29" s="468" t="n"/>
      <c r="I29" s="468" t="n"/>
      <c r="J29" s="262" t="n"/>
      <c r="K29" s="262" t="n"/>
      <c r="O29" s="251" t="n"/>
    </row>
    <row r="30">
      <c r="A30" s="249" t="n"/>
      <c r="B30" s="468" t="n"/>
      <c r="C30" s="468" t="n"/>
      <c r="D30" s="262" t="n"/>
      <c r="E30" s="262" t="n"/>
      <c r="F30" s="476" t="n"/>
      <c r="G30" s="205" t="n"/>
      <c r="H30" s="468" t="n"/>
      <c r="I30" s="468" t="n"/>
      <c r="J30" s="262" t="n"/>
      <c r="K30" s="262" t="n"/>
      <c r="O30" s="251" t="n"/>
    </row>
    <row r="31">
      <c r="A31" s="249" t="n"/>
      <c r="B31" s="468" t="n"/>
      <c r="C31" s="468" t="n"/>
      <c r="D31" s="262" t="n"/>
      <c r="E31" s="262" t="n"/>
      <c r="F31" s="476" t="n"/>
      <c r="G31" s="205" t="n"/>
      <c r="H31" s="468" t="n"/>
      <c r="I31" s="468" t="n"/>
      <c r="J31" s="262" t="n"/>
      <c r="K31" s="262" t="n"/>
      <c r="O31" s="251" t="n"/>
    </row>
    <row r="32">
      <c r="A32" s="249" t="n"/>
      <c r="B32" s="215" t="inlineStr">
        <is>
          <t>Data Table</t>
        </is>
      </c>
      <c r="C32" s="205" t="n"/>
      <c r="D32" s="205" t="n"/>
      <c r="E32" s="205" t="n"/>
      <c r="G32" s="215" t="inlineStr">
        <is>
          <t>Customer:</t>
        </is>
      </c>
      <c r="H32" s="468" t="n"/>
      <c r="I32" s="468" t="n"/>
      <c r="J32" s="262" t="n"/>
      <c r="K32" s="262" t="n"/>
      <c r="O32" s="251" t="n"/>
    </row>
    <row r="33" ht="24" customHeight="1" s="369">
      <c r="A33" s="249" t="n"/>
      <c r="B33" s="279">
        <f>"Input" &amp; CHAR(10) &amp;" (" &amp; M7 &amp; ")"</f>
        <v/>
      </c>
      <c r="C33" s="279">
        <f>"Measured" &amp; CHAR(10) &amp;"(" &amp; M7 &amp; ")"</f>
        <v/>
      </c>
      <c r="D33" s="279" t="inlineStr">
        <is>
          <t>% Deviation</t>
        </is>
      </c>
      <c r="E33" s="496" t="n"/>
      <c r="F33" s="476" t="n"/>
      <c r="G33" s="478" t="inlineStr">
        <is>
          <t>WearCheck RS</t>
        </is>
      </c>
      <c r="H33" s="358" t="n"/>
      <c r="I33" s="358" t="n"/>
      <c r="J33" s="358" t="n"/>
      <c r="K33" s="358" t="n"/>
      <c r="L33" s="358" t="n"/>
      <c r="M33" s="358" t="n"/>
      <c r="N33" s="358" t="n"/>
      <c r="O33" s="251" t="n"/>
    </row>
    <row r="34" ht="14.25" customHeight="1" s="369">
      <c r="A34" s="249" t="n"/>
      <c r="B34" s="541" t="n">
        <v>50</v>
      </c>
      <c r="C34" s="541" t="n">
        <v>50</v>
      </c>
      <c r="D34" s="477">
        <f>IF(OR(B34="",C34=""),"",(C34/B34-1)*100)</f>
        <v/>
      </c>
      <c r="E34" s="496" t="n"/>
      <c r="F34" s="205" t="n"/>
      <c r="G34" s="478" t="n"/>
      <c r="H34" s="358" t="n"/>
      <c r="I34" s="358" t="n"/>
      <c r="J34" s="358" t="n"/>
      <c r="K34" s="358" t="n"/>
      <c r="L34" s="358" t="n"/>
      <c r="M34" s="358" t="n"/>
      <c r="N34" s="358" t="n"/>
      <c r="O34" s="251" t="n"/>
    </row>
    <row r="35">
      <c r="A35" s="249" t="n"/>
      <c r="B35" s="541" t="n">
        <v>50</v>
      </c>
      <c r="C35" s="541" t="n">
        <v>50</v>
      </c>
      <c r="D35" s="477">
        <f>IF(OR(B35="",C35=""),"",(C35/B35-1)*100)</f>
        <v/>
      </c>
      <c r="E35" s="496" t="n"/>
      <c r="F35" s="205" t="n"/>
      <c r="G35" s="478" t="n"/>
      <c r="H35" s="358" t="n"/>
      <c r="I35" s="358" t="n"/>
      <c r="J35" s="358" t="n"/>
      <c r="K35" s="358" t="n"/>
      <c r="L35" s="358" t="n"/>
      <c r="M35" s="358" t="n"/>
      <c r="N35" s="358" t="n"/>
      <c r="O35" s="251" t="n"/>
    </row>
    <row r="36" ht="14.25" customHeight="1" s="369">
      <c r="A36" s="249" t="n"/>
      <c r="B36" s="541" t="n">
        <v>50</v>
      </c>
      <c r="C36" s="541" t="n">
        <v>50</v>
      </c>
      <c r="D36" s="477">
        <f>IF(OR(B36="",C36=""),"",(C36/B36-1)*100)</f>
        <v/>
      </c>
      <c r="E36" s="496" t="n"/>
      <c r="G36" s="478" t="n"/>
      <c r="H36" s="358" t="n"/>
      <c r="I36" s="358" t="n"/>
      <c r="J36" s="358" t="n"/>
      <c r="K36" s="358" t="n"/>
      <c r="L36" s="358" t="n"/>
      <c r="M36" s="358" t="n"/>
      <c r="N36" s="358" t="n"/>
      <c r="O36" s="251" t="n"/>
    </row>
    <row r="37">
      <c r="A37" s="249" t="n"/>
      <c r="B37" s="541" t="n">
        <v>50</v>
      </c>
      <c r="C37" s="541" t="n">
        <v>50</v>
      </c>
      <c r="D37" s="477">
        <f>IF(OR(B37="",C37=""),"",(C37/B37-1)*100)</f>
        <v/>
      </c>
      <c r="E37" s="496" t="n"/>
      <c r="F37" s="205" t="n"/>
      <c r="G37" s="478" t="n"/>
      <c r="H37" s="358" t="n"/>
      <c r="I37" s="358" t="n"/>
      <c r="J37" s="358" t="n"/>
      <c r="K37" s="358" t="n"/>
      <c r="L37" s="358" t="n"/>
      <c r="M37" s="358" t="n"/>
      <c r="N37" s="358" t="n"/>
      <c r="O37" s="293" t="n"/>
    </row>
    <row r="38">
      <c r="A38" s="249" t="n"/>
      <c r="B38" s="541" t="n">
        <v>50</v>
      </c>
      <c r="C38" s="541" t="n">
        <v>50</v>
      </c>
      <c r="D38" s="477">
        <f>IF(OR(B38="",C38=""),"",(C38/B38-1)*100)</f>
        <v/>
      </c>
      <c r="E38" s="496" t="n"/>
      <c r="F38" s="205" t="n"/>
      <c r="G38" s="478" t="n"/>
      <c r="H38" s="358" t="n"/>
      <c r="I38" s="358" t="n"/>
      <c r="J38" s="358" t="n"/>
      <c r="K38" s="358" t="n"/>
      <c r="L38" s="358" t="n"/>
      <c r="M38" s="358" t="n"/>
      <c r="N38" s="358" t="n"/>
      <c r="O38" s="293" t="n"/>
    </row>
    <row r="39">
      <c r="A39" s="249" t="n"/>
      <c r="B39" s="541" t="n">
        <v>50</v>
      </c>
      <c r="C39" s="541" t="n">
        <v>50</v>
      </c>
      <c r="D39" s="477">
        <f>IF(OR(B39="",C39=""),"",(C39/B39-1)*100)</f>
        <v/>
      </c>
      <c r="E39" s="496" t="n"/>
      <c r="F39" s="205" t="n"/>
      <c r="G39" s="478" t="n"/>
      <c r="H39" s="358" t="n"/>
      <c r="I39" s="358" t="n"/>
      <c r="J39" s="358" t="n"/>
      <c r="K39" s="358" t="n"/>
      <c r="L39" s="358" t="n"/>
      <c r="M39" s="358" t="n"/>
      <c r="N39" s="358" t="n"/>
      <c r="O39" s="293" t="n"/>
    </row>
    <row r="40">
      <c r="A40" s="249" t="n"/>
      <c r="B40" s="541" t="n">
        <v>50</v>
      </c>
      <c r="C40" s="541" t="n">
        <v>50</v>
      </c>
      <c r="D40" s="477">
        <f>IF(OR(B40="",C40=""),"",(C40/B40-1)*100)</f>
        <v/>
      </c>
      <c r="E40" s="496" t="n"/>
      <c r="F40" s="205" t="n"/>
      <c r="G40" s="215" t="inlineStr">
        <is>
          <t>Note:</t>
        </is>
      </c>
      <c r="H40" s="292" t="n"/>
      <c r="I40" s="292" t="n"/>
      <c r="J40" s="292" t="n"/>
      <c r="K40" s="292" t="n"/>
      <c r="L40" s="292" t="n"/>
      <c r="M40" s="292" t="n"/>
      <c r="N40" s="292" t="n"/>
      <c r="O40" s="293" t="n"/>
    </row>
    <row r="41" ht="14.25" customHeight="1" s="369">
      <c r="A41" s="249" t="n"/>
      <c r="B41" s="541" t="n"/>
      <c r="C41" s="541" t="n"/>
      <c r="D41" s="477">
        <f>IF(OR(B41="",C41=""),"",(C41/B41-1)*100)</f>
        <v/>
      </c>
      <c r="E41" s="496" t="n"/>
      <c r="F41" s="205" t="n"/>
      <c r="G41" s="486" t="inlineStr">
        <is>
          <t>Traceable to NIST and PTB. Piezoelectric sensor sensitivity tested by back-to-back comparison per ISO 16063-21. This certificate may not be reproduced except in full, without written permission.</t>
        </is>
      </c>
      <c r="H41" s="358" t="n"/>
      <c r="I41" s="358" t="n"/>
      <c r="J41" s="358" t="n"/>
      <c r="K41" s="358" t="n"/>
      <c r="L41" s="358" t="n"/>
      <c r="M41" s="358" t="n"/>
      <c r="N41" s="358" t="n"/>
      <c r="O41" s="542" t="n"/>
    </row>
    <row r="42">
      <c r="A42" s="249" t="n"/>
      <c r="B42" s="541" t="n">
        <v>10</v>
      </c>
      <c r="C42" s="541" t="n">
        <v>10</v>
      </c>
      <c r="D42" s="477">
        <f>IF(OR(B42="",C42=""),"",(C42/B42-1)*100)</f>
        <v/>
      </c>
      <c r="E42" s="496" t="n"/>
      <c r="F42" s="205" t="n"/>
      <c r="G42" s="358" t="n"/>
      <c r="H42" s="358" t="n"/>
      <c r="I42" s="358" t="n"/>
      <c r="J42" s="358" t="n"/>
      <c r="K42" s="358" t="n"/>
      <c r="L42" s="358" t="n"/>
      <c r="M42" s="358" t="n"/>
      <c r="N42" s="358" t="n"/>
      <c r="O42" s="542" t="n"/>
    </row>
    <row r="43">
      <c r="A43" s="249" t="n"/>
      <c r="B43" s="541" t="n">
        <v>20</v>
      </c>
      <c r="C43" s="541" t="n">
        <v>20</v>
      </c>
      <c r="D43" s="477">
        <f>IF(OR(B43="",C43=""),"",(C43/B43-1)*100)</f>
        <v/>
      </c>
      <c r="E43" s="496" t="n"/>
      <c r="F43" s="205" t="n"/>
      <c r="G43" s="358" t="n"/>
      <c r="H43" s="358" t="n"/>
      <c r="I43" s="358" t="n"/>
      <c r="J43" s="358" t="n"/>
      <c r="K43" s="358" t="n"/>
      <c r="L43" s="358" t="n"/>
      <c r="M43" s="358" t="n"/>
      <c r="N43" s="358" t="n"/>
      <c r="O43" s="542" t="n"/>
    </row>
    <row r="44" ht="14.25" customHeight="1" s="369">
      <c r="A44" s="249" t="n"/>
      <c r="B44" s="541" t="n">
        <v>30</v>
      </c>
      <c r="C44" s="541" t="n">
        <v>30</v>
      </c>
      <c r="D44" s="477">
        <f>IF(OR(B44="",C44=""),"",(C44/B44-1)*100)</f>
        <v/>
      </c>
      <c r="E44" s="496" t="n"/>
      <c r="F44" s="205" t="n"/>
      <c r="G44" s="358" t="n"/>
      <c r="H44" s="358" t="n"/>
      <c r="I44" s="358" t="n"/>
      <c r="J44" s="358" t="n"/>
      <c r="K44" s="358" t="n"/>
      <c r="L44" s="358" t="n"/>
      <c r="M44" s="358" t="n"/>
      <c r="N44" s="358" t="n"/>
      <c r="O44" s="542" t="n"/>
    </row>
    <row r="45">
      <c r="A45" s="249" t="n"/>
      <c r="B45" s="541" t="n">
        <v>50</v>
      </c>
      <c r="C45" s="541" t="n">
        <v>50</v>
      </c>
      <c r="D45" s="477">
        <f>IF(OR(B45="",C45=""),"",(C45/B45-1)*100)</f>
        <v/>
      </c>
      <c r="E45" s="496" t="n"/>
      <c r="F45" s="205" t="n"/>
      <c r="G45" s="484" t="n"/>
      <c r="O45" s="539" t="n"/>
    </row>
    <row r="46">
      <c r="A46" s="249" t="n"/>
      <c r="B46" s="541" t="n">
        <v>60</v>
      </c>
      <c r="C46" s="541" t="n">
        <v>60</v>
      </c>
      <c r="D46" s="477">
        <f>IF(OR(B46="",C46=""),"",(C46/B46-1)*100)</f>
        <v/>
      </c>
      <c r="E46" s="496" t="n"/>
      <c r="F46" s="205" t="n"/>
      <c r="G46" s="484" t="n"/>
      <c r="O46" s="539" t="n"/>
    </row>
    <row r="47">
      <c r="A47" s="249" t="n"/>
      <c r="B47" s="541" t="n">
        <v>95</v>
      </c>
      <c r="C47" s="541" t="n">
        <v>95</v>
      </c>
      <c r="D47" s="477">
        <f>IF(OR(B47="",C47=""),"",(C47/B47-1)*100)</f>
        <v/>
      </c>
      <c r="E47" s="496" t="n"/>
      <c r="F47" s="205" t="n"/>
      <c r="G47" s="484" t="n"/>
      <c r="O47" s="539" t="n"/>
    </row>
    <row r="48">
      <c r="A48" s="249" t="n"/>
      <c r="B48" s="541" t="n"/>
      <c r="C48" s="541" t="n"/>
      <c r="D48" s="477">
        <f>IF(OR(B48="",C48=""),"",(C48/B48-1)*100)</f>
        <v/>
      </c>
      <c r="E48" s="496" t="n"/>
      <c r="F48" s="205" t="n"/>
      <c r="G48" s="484" t="n"/>
      <c r="O48" s="539" t="n"/>
    </row>
    <row r="49" ht="15" customHeight="1" s="369" thickBot="1">
      <c r="A49" s="263" t="n"/>
      <c r="B49" s="264" t="n"/>
      <c r="C49" s="264" t="n"/>
      <c r="D49" s="264" t="n"/>
      <c r="E49" s="264" t="n"/>
      <c r="F49" s="264" t="n"/>
      <c r="G49" s="264" t="n"/>
      <c r="H49" s="264" t="n"/>
      <c r="I49" s="264" t="n"/>
      <c r="J49" s="264" t="n"/>
      <c r="K49" s="264" t="n"/>
      <c r="L49" s="265" t="n"/>
      <c r="M49" s="265" t="n"/>
      <c r="N49" s="265" t="n"/>
      <c r="O49" s="266" t="n"/>
    </row>
    <row r="50" ht="15" customHeight="1" s="369" thickTop="1"/>
  </sheetData>
  <mergeCells count="59">
    <mergeCell ref="M11:O11"/>
    <mergeCell ref="E10:G10"/>
    <mergeCell ref="M10:O10"/>
    <mergeCell ref="F16:G16"/>
    <mergeCell ref="L16:M16"/>
    <mergeCell ref="D34:E34"/>
    <mergeCell ref="J14:K14"/>
    <mergeCell ref="G41:O44"/>
    <mergeCell ref="D46:E46"/>
    <mergeCell ref="G36:N36"/>
    <mergeCell ref="M7:O7"/>
    <mergeCell ref="D40:E40"/>
    <mergeCell ref="E9:G9"/>
    <mergeCell ref="D36:E36"/>
    <mergeCell ref="M6:O6"/>
    <mergeCell ref="D45:E45"/>
    <mergeCell ref="E6:G6"/>
    <mergeCell ref="G39:N39"/>
    <mergeCell ref="A2:O2"/>
    <mergeCell ref="E11:G11"/>
    <mergeCell ref="F15:G15"/>
    <mergeCell ref="J15:K15"/>
    <mergeCell ref="G45:O45"/>
    <mergeCell ref="G38:N38"/>
    <mergeCell ref="L15:M15"/>
    <mergeCell ref="M8:O8"/>
    <mergeCell ref="D41:E41"/>
    <mergeCell ref="D48:E48"/>
    <mergeCell ref="G37:N37"/>
    <mergeCell ref="D17:E17"/>
    <mergeCell ref="F17:G17"/>
    <mergeCell ref="L14:M14"/>
    <mergeCell ref="E7:G7"/>
    <mergeCell ref="G47:O47"/>
    <mergeCell ref="D47:E47"/>
    <mergeCell ref="G34:N34"/>
    <mergeCell ref="D16:E16"/>
    <mergeCell ref="D43:E43"/>
    <mergeCell ref="J16:K16"/>
    <mergeCell ref="G33:N33"/>
    <mergeCell ref="G46:O46"/>
    <mergeCell ref="D37:E37"/>
    <mergeCell ref="D39:E39"/>
    <mergeCell ref="G35:N35"/>
    <mergeCell ref="D42:E42"/>
    <mergeCell ref="D15:E15"/>
    <mergeCell ref="D33:E33"/>
    <mergeCell ref="E5:G5"/>
    <mergeCell ref="M9:O9"/>
    <mergeCell ref="E8:G8"/>
    <mergeCell ref="H17:N17"/>
    <mergeCell ref="D38:E38"/>
    <mergeCell ref="M5:O5"/>
    <mergeCell ref="D14:E14"/>
    <mergeCell ref="G48:O48"/>
    <mergeCell ref="F14:G14"/>
    <mergeCell ref="H14:I14"/>
    <mergeCell ref="D44:E44"/>
    <mergeCell ref="D35:E35"/>
  </mergeCells>
  <dataValidations count="1">
    <dataValidation sqref="B24:C24 B34:C34 C19 H24:I32 I19" showDropDown="0" showInputMessage="1" showErrorMessage="1" allowBlank="1" type="decimal" operator="greaterThanOrEqual">
      <formula1>0</formula1>
    </dataValidation>
  </dataValidations>
  <printOptions horizontalCentered="1"/>
  <pageMargins left="0.25" right="0.25" top="0.5" bottom="0.5" header="0.05" footer="0.05"/>
  <pageSetup orientation="portrait"/>
  <drawing r:id="rId1"/>
</worksheet>
</file>

<file path=xl/worksheets/sheet11.xml><?xml version="1.0" encoding="utf-8"?>
<worksheet xmlns="http://schemas.openxmlformats.org/spreadsheetml/2006/main">
  <sheetPr codeName="Sheet9">
    <outlinePr summaryBelow="1" summaryRight="1"/>
    <pageSetUpPr/>
  </sheetPr>
  <dimension ref="A1:L45"/>
  <sheetViews>
    <sheetView zoomScale="70" zoomScaleNormal="70" workbookViewId="0">
      <selection activeCell="D1" sqref="D1"/>
    </sheetView>
  </sheetViews>
  <sheetFormatPr baseColWidth="8" defaultRowHeight="15"/>
  <cols>
    <col width="10.85546875" customWidth="1" style="369" min="1" max="1"/>
    <col width="11" customWidth="1" style="369" min="2" max="2"/>
    <col width="15.7109375" customWidth="1" style="369" min="3" max="3"/>
    <col width="13.140625" bestFit="1" customWidth="1" style="369" min="4" max="4"/>
    <col width="10.7109375" customWidth="1" style="369" min="15" max="15"/>
  </cols>
  <sheetData>
    <row r="1">
      <c r="A1" s="351" t="inlineStr">
        <is>
          <t>Current Report Workbook Version:</t>
        </is>
      </c>
      <c r="D1" s="169">
        <f>'Linfit Worksheet'!L29</f>
        <v/>
      </c>
    </row>
    <row r="2">
      <c r="A2" s="318" t="inlineStr">
        <is>
          <t>Version</t>
        </is>
      </c>
      <c r="B2" s="318" t="inlineStr">
        <is>
          <t>Changes</t>
        </is>
      </c>
    </row>
    <row r="3">
      <c r="A3" t="inlineStr">
        <is>
          <t>2.0.2</t>
        </is>
      </c>
      <c r="B3" t="inlineStr">
        <is>
          <t>Introduced Version Log</t>
        </is>
      </c>
    </row>
    <row r="5" ht="15" customHeight="1" s="369">
      <c r="A5" t="inlineStr">
        <is>
          <t>2.0.3</t>
        </is>
      </c>
      <c r="B5" s="489" t="inlineStr">
        <is>
          <t>Edited the Route Creator sheet.  The decimal place of the amplitude value is now limited based on the selected amplitude unit.</t>
        </is>
      </c>
    </row>
    <row r="6"/>
    <row r="7">
      <c r="B7" s="490" t="n"/>
      <c r="C7" s="490" t="n"/>
      <c r="D7" s="490" t="n"/>
      <c r="E7" s="490" t="n"/>
      <c r="F7" s="490" t="n"/>
      <c r="G7" s="490" t="n"/>
      <c r="H7" s="490" t="n"/>
      <c r="I7" s="490" t="n"/>
    </row>
    <row r="8">
      <c r="A8" t="inlineStr">
        <is>
          <t>3.0.0</t>
        </is>
      </c>
      <c r="B8" s="489" t="inlineStr">
        <is>
          <t>In LINData: unlocked H12 and created a drop down menu for acceleration, velocity, and displacement.  Modified H13 and created a linked list for the amplitude, velocity and displacement options available on the PVC.  Modified I13 and created a drop down list for Volts and mA.  Got rid of line 14 (was called "starting point").
Changed the name of table in G10 to "Static Proximity Probe/4-20 mA Vibration Sensor Calibration Data Table" (did not record original name).  In FRData: Added checkbox at top right to allow the inline charge amp sensitivity to be displayed.  Added the charge amp sensitivity text box.  The charge amp sensitivity is now displayed on the Cal Cert.</t>
        </is>
      </c>
    </row>
    <row r="9"/>
    <row r="10"/>
    <row r="11"/>
    <row r="12"/>
    <row r="13"/>
    <row r="14"/>
    <row r="16">
      <c r="A16" t="inlineStr">
        <is>
          <t>3.0.1</t>
        </is>
      </c>
      <c r="B16" s="488" t="inlineStr">
        <is>
          <t xml:space="preserve">Edited FRData and FRRaw to update the sensitivity displayed in FRData to show mV/pC when "Create Calibration Certificate in   pC/g" to pC/g…  </t>
        </is>
      </c>
    </row>
    <row r="17"/>
    <row r="18"/>
    <row r="19"/>
    <row r="20"/>
    <row r="21">
      <c r="B21" s="488" t="n"/>
      <c r="C21" s="488" t="n"/>
      <c r="D21" s="488" t="n"/>
      <c r="E21" s="488" t="n"/>
      <c r="F21" s="488" t="n"/>
      <c r="G21" s="488" t="n"/>
      <c r="H21" s="488" t="n"/>
      <c r="I21" s="488" t="n"/>
      <c r="J21" s="488" t="n"/>
      <c r="K21" s="488" t="n"/>
      <c r="L21" s="488" t="n"/>
    </row>
    <row r="22">
      <c r="A22" t="inlineStr">
        <is>
          <t>3.0.3</t>
        </is>
      </c>
      <c r="B22" s="488" t="inlineStr">
        <is>
          <t>Fixed MRS PV note on CPM vs Hz</t>
        </is>
      </c>
    </row>
    <row r="23"/>
    <row r="24"/>
    <row r="25"/>
    <row r="26"/>
    <row r="28">
      <c r="A28" t="inlineStr">
        <is>
          <t>3.0.4</t>
        </is>
      </c>
      <c r="B28" s="488" t="inlineStr">
        <is>
          <t>Fixed all MRS PV notes, set all worksheets top start in the same cell when activating worksheet, set all worksheets to automatically lock when activated</t>
        </is>
      </c>
    </row>
    <row r="29"/>
    <row r="30"/>
    <row r="31"/>
    <row r="32"/>
    <row r="34">
      <c r="A34" t="inlineStr">
        <is>
          <t>3.0.8</t>
        </is>
      </c>
      <c r="B34" s="487" t="inlineStr">
        <is>
          <t>Prompt users to save Calibration route file in ":\CalRecords_PVC\Calibrtion_Route\"</t>
        </is>
      </c>
    </row>
    <row r="35"/>
    <row r="36">
      <c r="A36" t="inlineStr">
        <is>
          <t>3.0.9</t>
        </is>
      </c>
      <c r="B36" t="inlineStr">
        <is>
          <t>Check for illegal character in Route Name or Sensor MN</t>
        </is>
      </c>
    </row>
    <row r="37">
      <c r="B37" t="inlineStr">
        <is>
          <t>Replace comma decimal separator to point separator</t>
        </is>
      </c>
    </row>
    <row r="38">
      <c r="B38" t="inlineStr">
        <is>
          <t>Fix graphing display on SLinCert</t>
        </is>
      </c>
    </row>
    <row r="40">
      <c r="A40" t="inlineStr">
        <is>
          <t>3.1.0</t>
        </is>
      </c>
      <c r="B40" t="inlineStr">
        <is>
          <t>Added charge mode sensor support to the Route Creator tab.</t>
        </is>
      </c>
    </row>
    <row r="41">
      <c r="A41" t="inlineStr">
        <is>
          <t>3.2.0</t>
        </is>
      </c>
      <c r="B41" t="inlineStr">
        <is>
          <t>Added ISO route creator and support for changes in 6.0 route</t>
        </is>
      </c>
    </row>
    <row r="42">
      <c r="A42" t="inlineStr">
        <is>
          <t>3.2.1</t>
        </is>
      </c>
      <c r="B42" t="inlineStr">
        <is>
          <t>Fixed using comma as the seperator for route creator</t>
        </is>
      </c>
    </row>
    <row r="43">
      <c r="A43" t="inlineStr">
        <is>
          <t>3.2.2</t>
        </is>
      </c>
      <c r="B43" t="inlineStr">
        <is>
          <t>Fixed data point range in Save_Route_File routine of Generate_CalRoute module (fixed bug where only 28 points were written instead of all 30)</t>
        </is>
      </c>
    </row>
    <row r="44">
      <c r="A44" t="inlineStr">
        <is>
          <t>3.2.3</t>
        </is>
      </c>
      <c r="B44" t="inlineStr">
        <is>
          <t>Updated logo</t>
        </is>
      </c>
    </row>
    <row r="45">
      <c r="A45" t="inlineStr">
        <is>
          <t>3.2.4</t>
        </is>
      </c>
      <c r="B45" t="inlineStr">
        <is>
          <t>Removed "Load Test Route" button from Vib Analyzer Data tab &amp; fixed VB error</t>
        </is>
      </c>
    </row>
  </sheetData>
  <mergeCells count="8">
    <mergeCell ref="A1:C1"/>
    <mergeCell ref="B3:L3"/>
    <mergeCell ref="B28:L32"/>
    <mergeCell ref="B8:L14"/>
    <mergeCell ref="B22:L26"/>
    <mergeCell ref="B34:L35"/>
    <mergeCell ref="B5:L6"/>
    <mergeCell ref="B16:L20"/>
  </mergeCells>
  <pageMargins left="0.7" right="0.7" top="0.75" bottom="0.75" header="0.3" footer="0.3"/>
</worksheet>
</file>

<file path=xl/worksheets/sheet12.xml><?xml version="1.0" encoding="utf-8"?>
<worksheet xmlns="http://schemas.openxmlformats.org/spreadsheetml/2006/main">
  <sheetPr codeName="Sheet4">
    <outlinePr summaryBelow="1" summaryRight="1"/>
    <pageSetUpPr/>
  </sheetPr>
  <dimension ref="A1:V26"/>
  <sheetViews>
    <sheetView workbookViewId="0">
      <selection activeCell="G14" sqref="G14"/>
    </sheetView>
  </sheetViews>
  <sheetFormatPr baseColWidth="8" defaultRowHeight="15"/>
  <cols>
    <col width="10.42578125" bestFit="1" customWidth="1" style="369" min="15" max="15"/>
  </cols>
  <sheetData>
    <row r="1">
      <c r="B1" t="inlineStr">
        <is>
          <t>Frequency Units</t>
        </is>
      </c>
      <c r="C1" t="inlineStr">
        <is>
          <t>Sensor Type</t>
        </is>
      </c>
      <c r="D1" t="inlineStr">
        <is>
          <t>Amplitude Units</t>
        </is>
      </c>
      <c r="E1" t="inlineStr">
        <is>
          <t>filenames</t>
        </is>
      </c>
      <c r="H1" t="inlineStr">
        <is>
          <t>Analyzer window</t>
        </is>
      </c>
    </row>
    <row r="2">
      <c r="A2" t="n">
        <v>1</v>
      </c>
      <c r="B2" t="inlineStr">
        <is>
          <t>Hertz</t>
        </is>
      </c>
      <c r="C2" t="inlineStr">
        <is>
          <t>ICP</t>
        </is>
      </c>
      <c r="E2" t="inlineStr">
        <is>
          <t>pvc_route</t>
        </is>
      </c>
    </row>
    <row r="3">
      <c r="A3" t="n">
        <v>2</v>
      </c>
      <c r="B3" t="inlineStr">
        <is>
          <t>CPM</t>
        </is>
      </c>
      <c r="C3" t="inlineStr">
        <is>
          <t>Voltage</t>
        </is>
      </c>
      <c r="D3" t="inlineStr">
        <is>
          <t>g pk</t>
        </is>
      </c>
      <c r="E3" t="inlineStr">
        <is>
          <t>pvc_route2</t>
        </is>
      </c>
      <c r="G3" t="n">
        <v>1</v>
      </c>
      <c r="H3" t="inlineStr">
        <is>
          <t>Hanning</t>
        </is>
      </c>
      <c r="I3" t="n">
        <v>1</v>
      </c>
      <c r="J3" t="inlineStr">
        <is>
          <t>mV/EU</t>
        </is>
      </c>
      <c r="K3" t="n">
        <v>1</v>
      </c>
      <c r="L3" t="inlineStr">
        <is>
          <t>Hz</t>
        </is>
      </c>
      <c r="N3" t="n">
        <v>1</v>
      </c>
      <c r="O3" t="inlineStr">
        <is>
          <t>g pk</t>
        </is>
      </c>
      <c r="P3" s="166" t="n">
        <v>1</v>
      </c>
      <c r="R3" t="inlineStr">
        <is>
          <t>Hertz</t>
        </is>
      </c>
      <c r="S3" t="n">
        <v>1</v>
      </c>
      <c r="U3" t="n">
        <v>1</v>
      </c>
      <c r="V3" t="inlineStr">
        <is>
          <t>Spectra</t>
        </is>
      </c>
    </row>
    <row r="4">
      <c r="C4" t="inlineStr">
        <is>
          <t>Modulated Current</t>
        </is>
      </c>
      <c r="D4" t="inlineStr">
        <is>
          <t>g RMS</t>
        </is>
      </c>
      <c r="E4" t="inlineStr">
        <is>
          <t>pvc_route3</t>
        </is>
      </c>
      <c r="G4" t="n">
        <v>2</v>
      </c>
      <c r="H4" t="inlineStr">
        <is>
          <t>Hamming</t>
        </is>
      </c>
      <c r="I4" t="n">
        <v>2</v>
      </c>
      <c r="J4" t="inlineStr">
        <is>
          <t>V/EU</t>
        </is>
      </c>
      <c r="K4" t="n">
        <v>2</v>
      </c>
      <c r="L4" t="inlineStr">
        <is>
          <t>CPM</t>
        </is>
      </c>
      <c r="N4" t="n">
        <v>2</v>
      </c>
      <c r="O4" t="inlineStr">
        <is>
          <t>g RMS</t>
        </is>
      </c>
      <c r="P4" s="166" t="n">
        <v>2</v>
      </c>
      <c r="R4" t="inlineStr">
        <is>
          <t>CPM</t>
        </is>
      </c>
      <c r="S4" t="n">
        <v>2</v>
      </c>
      <c r="U4" t="n">
        <v>2</v>
      </c>
      <c r="V4" t="inlineStr">
        <is>
          <t>Overall</t>
        </is>
      </c>
    </row>
    <row r="5">
      <c r="A5" s="169" t="n"/>
      <c r="C5" t="inlineStr">
        <is>
          <t>Charge</t>
        </is>
      </c>
      <c r="D5" t="inlineStr">
        <is>
          <t>in/s pk</t>
        </is>
      </c>
      <c r="G5" t="n">
        <v>3</v>
      </c>
      <c r="H5" t="inlineStr">
        <is>
          <t>Flattop</t>
        </is>
      </c>
      <c r="N5" t="n">
        <v>3</v>
      </c>
      <c r="O5" t="inlineStr">
        <is>
          <t>in/s pk</t>
        </is>
      </c>
      <c r="P5" s="166" t="n">
        <v>3</v>
      </c>
      <c r="U5" t="n">
        <v>3</v>
      </c>
      <c r="V5" t="inlineStr">
        <is>
          <t>Time waveform</t>
        </is>
      </c>
    </row>
    <row r="6">
      <c r="A6" s="169" t="n"/>
      <c r="C6" t="inlineStr">
        <is>
          <t>PR</t>
        </is>
      </c>
      <c r="D6" t="inlineStr">
        <is>
          <t>in/s RMS</t>
        </is>
      </c>
      <c r="G6" t="n">
        <v>4</v>
      </c>
      <c r="H6" t="inlineStr">
        <is>
          <t>Uniform</t>
        </is>
      </c>
      <c r="N6" t="n">
        <v>4</v>
      </c>
      <c r="O6" t="inlineStr">
        <is>
          <t>in/s RMS</t>
        </is>
      </c>
      <c r="P6" s="166" t="n">
        <v>4</v>
      </c>
    </row>
    <row r="7">
      <c r="D7" t="inlineStr">
        <is>
          <t>mil p-p</t>
        </is>
      </c>
      <c r="N7" t="n">
        <v>5</v>
      </c>
      <c r="O7" t="inlineStr">
        <is>
          <t>mil p-p</t>
        </is>
      </c>
      <c r="P7" s="166" t="n">
        <v>5</v>
      </c>
    </row>
    <row r="8">
      <c r="D8" t="inlineStr">
        <is>
          <t>m/s2 pk</t>
        </is>
      </c>
      <c r="N8" t="n">
        <v>6</v>
      </c>
      <c r="O8" t="inlineStr">
        <is>
          <t>m/s2 pk</t>
        </is>
      </c>
      <c r="P8" s="166" t="n">
        <v>6</v>
      </c>
    </row>
    <row r="9">
      <c r="D9" t="inlineStr">
        <is>
          <t>m/s2 RMS</t>
        </is>
      </c>
      <c r="N9" t="n">
        <v>7</v>
      </c>
      <c r="O9" t="inlineStr">
        <is>
          <t>m/s2 RMS</t>
        </is>
      </c>
      <c r="P9" s="166" t="n">
        <v>7</v>
      </c>
    </row>
    <row r="10">
      <c r="D10" t="inlineStr">
        <is>
          <t>mm/s pk</t>
        </is>
      </c>
      <c r="N10" t="n">
        <v>8</v>
      </c>
      <c r="O10" t="inlineStr">
        <is>
          <t>mm/s pk</t>
        </is>
      </c>
      <c r="P10" s="166" t="n">
        <v>8</v>
      </c>
    </row>
    <row r="11">
      <c r="D11" t="inlineStr">
        <is>
          <t>mm/s RMS</t>
        </is>
      </c>
      <c r="N11" t="n">
        <v>9</v>
      </c>
      <c r="O11" t="inlineStr">
        <is>
          <t>mm/s RMS</t>
        </is>
      </c>
      <c r="P11" s="166" t="n">
        <v>9</v>
      </c>
    </row>
    <row r="12">
      <c r="D12" t="inlineStr">
        <is>
          <t>um p-p</t>
        </is>
      </c>
      <c r="N12" t="n">
        <v>10</v>
      </c>
      <c r="O12" t="inlineStr">
        <is>
          <t>um p-p</t>
        </is>
      </c>
      <c r="P12" s="166" t="n">
        <v>10</v>
      </c>
    </row>
    <row r="15">
      <c r="A15" s="268" t="n"/>
      <c r="B15" s="268" t="n"/>
      <c r="C15" s="268" t="n"/>
      <c r="D15" s="268" t="n"/>
      <c r="E15" s="268" t="n"/>
      <c r="F15" s="268" t="n"/>
      <c r="G15" s="268" t="n"/>
      <c r="H15" s="268" t="n"/>
      <c r="I15" s="268" t="n"/>
      <c r="J15" s="268" t="n"/>
      <c r="K15" s="268" t="n"/>
      <c r="L15" s="268" t="n"/>
      <c r="M15" s="268" t="n"/>
      <c r="N15" s="268" t="n"/>
      <c r="O15" s="268" t="n"/>
      <c r="P15" s="268" t="n"/>
    </row>
    <row r="17">
      <c r="A17" s="212" t="inlineStr">
        <is>
          <t>Linearity Test</t>
        </is>
      </c>
      <c r="B17" s="212" t="n"/>
      <c r="C17" s="212" t="n"/>
      <c r="D17" s="212" t="n"/>
      <c r="E17" s="212" t="n"/>
      <c r="F17" s="248" t="n"/>
    </row>
    <row r="18">
      <c r="A18" s="248" t="n"/>
      <c r="B18" s="205" t="n"/>
      <c r="C18" s="464" t="inlineStr">
        <is>
          <t xml:space="preserve">Test Frequency: </t>
        </is>
      </c>
      <c r="D18" s="462">
        <f>IF('Vib Analyzer Data'!K25="","N/A",'Vib Analyzer Data'!K25)</f>
        <v/>
      </c>
    </row>
    <row r="19">
      <c r="A19" s="248" t="n"/>
      <c r="B19" s="205" t="n"/>
      <c r="C19" s="464" t="inlineStr">
        <is>
          <t xml:space="preserve">Frequency Unit: </t>
        </is>
      </c>
      <c r="D19" s="462">
        <f>IF('Vib Analyzer Data'!K26="","",LOOKUP('Vib Analyzer Data'!K26,RouteRaw!K3:L4))</f>
        <v/>
      </c>
    </row>
    <row r="20">
      <c r="A20" s="248" t="n"/>
      <c r="B20" s="205" t="n"/>
      <c r="C20" s="464" t="inlineStr">
        <is>
          <t xml:space="preserve">Amplitude Unit: </t>
        </is>
      </c>
      <c r="D20" s="462">
        <f>IF('Vib Analyzer Data'!K29="","",LOOKUP('Vib Analyzer Data'!K29,RouteRaw!N3:O12))</f>
        <v/>
      </c>
    </row>
    <row r="21">
      <c r="A21" s="248" t="n"/>
      <c r="B21" s="205" t="n"/>
      <c r="C21" s="464" t="inlineStr">
        <is>
          <t xml:space="preserve">Abs. Max Deviation (%): </t>
        </is>
      </c>
      <c r="D21" s="465">
        <f>MAX('Vib Analyzer Data'!G26:G40,ABS(MIN(('Vib Analyzer Data'!G26:G40))))</f>
        <v/>
      </c>
    </row>
    <row r="22">
      <c r="A22" s="491" t="inlineStr">
        <is>
          <t>Frequency Response Test</t>
        </is>
      </c>
      <c r="B22" s="196" t="n"/>
      <c r="C22" s="196" t="n"/>
      <c r="D22" s="196" t="n"/>
      <c r="E22" s="196" t="n"/>
      <c r="F22" s="248" t="n"/>
    </row>
    <row r="23">
      <c r="A23" s="248" t="n"/>
      <c r="B23" s="205" t="n"/>
      <c r="C23" s="464" t="inlineStr">
        <is>
          <t xml:space="preserve">Test Amplitude: </t>
        </is>
      </c>
      <c r="D23" s="462">
        <f>IF('Vib Analyzer Data'!K28="","N/A",'Vib Analyzer Data'!K28)</f>
        <v/>
      </c>
    </row>
    <row r="24">
      <c r="A24" s="248" t="n"/>
      <c r="B24" s="205" t="n"/>
      <c r="C24" s="464" t="inlineStr">
        <is>
          <t xml:space="preserve">Amplitude Unit: </t>
        </is>
      </c>
      <c r="D24" s="462">
        <f>IF('Vib Analyzer Data'!K29="","",LOOKUP('Vib Analyzer Data'!K29,RouteRaw!N3:O12))</f>
        <v/>
      </c>
    </row>
    <row r="25">
      <c r="A25" s="248" t="n"/>
      <c r="B25" s="205" t="n"/>
      <c r="C25" s="464" t="inlineStr">
        <is>
          <t xml:space="preserve">Frequency Unit: </t>
        </is>
      </c>
      <c r="D25" s="462">
        <f>IF('Vib Analyzer Data'!K26="","",LOOKUP('Vib Analyzer Data'!K26,RouteRaw!K3:L4))</f>
        <v/>
      </c>
    </row>
    <row r="26">
      <c r="D26" s="462">
        <f>IF('Vib Analyzer Data'!K27="","",LOOKUP('Vib Analyzer Data'!K27,RouteRaw!K4:L5))</f>
        <v/>
      </c>
    </row>
  </sheetData>
  <mergeCells count="9">
    <mergeCell ref="D19:F19"/>
    <mergeCell ref="D23:F23"/>
    <mergeCell ref="D18:F18"/>
    <mergeCell ref="D26:F26"/>
    <mergeCell ref="D21:F21"/>
    <mergeCell ref="D25:F25"/>
    <mergeCell ref="D20:F20"/>
    <mergeCell ref="A22:E22"/>
    <mergeCell ref="D24:F24"/>
  </mergeCells>
  <pageMargins left="0.7" right="0.7" top="0.75" bottom="0.75" header="0.3" footer="0.3"/>
</worksheet>
</file>

<file path=xl/worksheets/sheet13.xml><?xml version="1.0" encoding="utf-8"?>
<worksheet xmlns="http://schemas.openxmlformats.org/spreadsheetml/2006/main">
  <sheetPr codeName="Sheet3">
    <outlinePr summaryBelow="1" summaryRight="1"/>
    <pageSetUpPr/>
  </sheetPr>
  <dimension ref="A1:AG34"/>
  <sheetViews>
    <sheetView topLeftCell="E1" zoomScale="90" zoomScaleNormal="90" workbookViewId="0">
      <selection activeCell="L30" sqref="L30"/>
    </sheetView>
  </sheetViews>
  <sheetFormatPr baseColWidth="8" defaultColWidth="9.140625" defaultRowHeight="12.75"/>
  <cols>
    <col width="25.42578125" customWidth="1" style="354" min="1" max="1"/>
    <col width="9.5703125" bestFit="1" customWidth="1" style="354" min="2" max="2"/>
    <col width="9.140625" customWidth="1" style="354" min="3" max="3"/>
    <col width="11.140625" customWidth="1" style="354" min="4" max="4"/>
    <col width="10.85546875" bestFit="1" customWidth="1" style="354" min="5" max="5"/>
    <col width="13.140625" customWidth="1" style="354" min="6" max="6"/>
    <col width="9.140625" customWidth="1" style="354" min="7" max="9"/>
    <col width="18" bestFit="1" customWidth="1" style="354" min="10" max="10"/>
    <col width="9.140625" customWidth="1" style="354" min="11" max="15"/>
    <col width="16.85546875" bestFit="1" customWidth="1" style="354" min="16" max="16"/>
    <col width="9.140625" customWidth="1" style="354" min="17" max="16384"/>
  </cols>
  <sheetData>
    <row r="1" ht="15" customHeight="1" s="369">
      <c r="A1" s="492" t="inlineStr">
        <is>
          <t>PLEASE DO NOT DELETE THIS TABLE (USED FOR LINEARITY CALCULATION)</t>
        </is>
      </c>
      <c r="J1" s="121" t="n"/>
      <c r="K1" s="121" t="inlineStr">
        <is>
          <t>Test Level</t>
        </is>
      </c>
      <c r="L1" s="121" t="n"/>
      <c r="M1" s="121" t="inlineStr">
        <is>
          <t>Linfit</t>
        </is>
      </c>
      <c r="N1" s="121" t="inlineStr">
        <is>
          <t>Linearity</t>
        </is>
      </c>
      <c r="V1" t="inlineStr">
        <is>
          <t>Acceleration</t>
        </is>
      </c>
      <c r="W1" t="inlineStr">
        <is>
          <t>g pk</t>
        </is>
      </c>
      <c r="X1" t="inlineStr">
        <is>
          <t>in/s pk</t>
        </is>
      </c>
      <c r="Y1" t="inlineStr">
        <is>
          <t>mil p-p</t>
        </is>
      </c>
      <c r="Z1" t="inlineStr">
        <is>
          <t>V</t>
        </is>
      </c>
      <c r="AA1" s="169" t="inlineStr">
        <is>
          <t>g pk</t>
        </is>
      </c>
      <c r="AB1" s="169" t="inlineStr">
        <is>
          <t>g</t>
        </is>
      </c>
      <c r="AC1">
        <f>LINData!H13</f>
        <v/>
      </c>
      <c r="AD1">
        <f>LOOKUP('Linfit Worksheet'!AC1,VibeUnits,SensUnits)</f>
        <v/>
      </c>
      <c r="AE1" s="354" t="inlineStr">
        <is>
          <t>Hard Limit</t>
        </is>
      </c>
      <c r="AF1" s="354" t="inlineStr">
        <is>
          <t>6.0 or later</t>
        </is>
      </c>
    </row>
    <row r="2" ht="15" customHeight="1" s="369">
      <c r="A2" s="354" t="inlineStr">
        <is>
          <t>For Dynamic Linearity</t>
        </is>
      </c>
      <c r="C2" s="121" t="inlineStr">
        <is>
          <t>test level</t>
        </is>
      </c>
      <c r="D2" s="122" t="inlineStr">
        <is>
          <t>mVpk</t>
        </is>
      </c>
      <c r="E2" s="122" t="inlineStr">
        <is>
          <t>linfit (mVpk)</t>
        </is>
      </c>
      <c r="F2" s="121" t="inlineStr">
        <is>
          <t>linearity %FS</t>
        </is>
      </c>
      <c r="G2" s="121" t="inlineStr">
        <is>
          <t>Absolute</t>
        </is>
      </c>
      <c r="H2" s="121" t="inlineStr">
        <is>
          <t>zero line</t>
        </is>
      </c>
      <c r="J2" s="121" t="inlineStr">
        <is>
          <t>For Static Linearity</t>
        </is>
      </c>
      <c r="K2" s="121">
        <f>LINData!H13</f>
        <v/>
      </c>
      <c r="L2" s="121">
        <f>LINData!I13</f>
        <v/>
      </c>
      <c r="M2" s="122">
        <f>L2</f>
        <v/>
      </c>
      <c r="N2" s="122" t="inlineStr">
        <is>
          <t>%</t>
        </is>
      </c>
      <c r="V2" t="inlineStr">
        <is>
          <t>Velocity</t>
        </is>
      </c>
      <c r="W2" t="inlineStr">
        <is>
          <t>g RMS</t>
        </is>
      </c>
      <c r="X2" t="inlineStr">
        <is>
          <t>in/s RMS</t>
        </is>
      </c>
      <c r="Y2" s="354" t="inlineStr">
        <is>
          <t>mil</t>
        </is>
      </c>
      <c r="Z2" t="inlineStr">
        <is>
          <t>mV</t>
        </is>
      </c>
      <c r="AA2" s="169" t="inlineStr">
        <is>
          <t>g RMS</t>
        </is>
      </c>
      <c r="AB2" s="169" t="inlineStr">
        <is>
          <t>g</t>
        </is>
      </c>
      <c r="AC2">
        <f>LINData!B13</f>
        <v/>
      </c>
      <c r="AD2">
        <f>IF(AC2="","",LOOKUP('Linfit Worksheet'!AC2,VibeUnits,SensUnits))</f>
        <v/>
      </c>
      <c r="AE2" s="354" t="inlineStr">
        <is>
          <t>ISO</t>
        </is>
      </c>
      <c r="AF2" s="354" t="inlineStr">
        <is>
          <t>5.3 or earlier</t>
        </is>
      </c>
    </row>
    <row r="3" ht="13.15" customHeight="1" s="369">
      <c r="A3" s="123" t="n"/>
      <c r="B3" s="124" t="n"/>
      <c r="C3" s="543" t="n">
        <v>0</v>
      </c>
      <c r="D3" s="544" t="n"/>
      <c r="E3" s="127" t="n">
        <v>0</v>
      </c>
      <c r="F3" s="123" t="n"/>
      <c r="G3" s="123" t="n"/>
      <c r="H3" s="128" t="n">
        <v>0</v>
      </c>
      <c r="J3" s="121" t="inlineStr">
        <is>
          <t>SLOPE</t>
        </is>
      </c>
      <c r="K3" s="121">
        <f>IF(Q7&lt;&gt;"",Q7,"")</f>
        <v/>
      </c>
      <c r="L3" s="121">
        <f>IF(R7&lt;&gt;"",R7,"")</f>
        <v/>
      </c>
      <c r="M3" s="121">
        <f>IF(S7&lt;&gt;"",S7,"")</f>
        <v/>
      </c>
      <c r="N3" s="120">
        <f>T7</f>
        <v/>
      </c>
      <c r="Q3" s="368">
        <f>IF(K3&lt;&gt;"",ABS(L3/M3-1),"")</f>
        <v/>
      </c>
      <c r="V3" t="inlineStr">
        <is>
          <t>Displacement</t>
        </is>
      </c>
      <c r="W3" t="inlineStr">
        <is>
          <t>m/s2 pk</t>
        </is>
      </c>
      <c r="X3" t="inlineStr">
        <is>
          <t>mm/s pk</t>
        </is>
      </c>
      <c r="Y3" t="inlineStr">
        <is>
          <t>um p-p</t>
        </is>
      </c>
      <c r="Z3" t="inlineStr">
        <is>
          <t>mA</t>
        </is>
      </c>
      <c r="AA3" s="169" t="inlineStr">
        <is>
          <t>in/s pk</t>
        </is>
      </c>
      <c r="AB3" s="169" t="inlineStr">
        <is>
          <t>in/s</t>
        </is>
      </c>
    </row>
    <row r="4" ht="15" customHeight="1" s="369">
      <c r="A4" s="130" t="inlineStr">
        <is>
          <t>Slope:</t>
        </is>
      </c>
      <c r="B4" s="131">
        <f>LINEST(D4:D4,C4:C4,TRUE)</f>
        <v/>
      </c>
      <c r="C4" s="543">
        <f>IF(LINData!B14&gt;0,IF(LINData!C14&gt;0,LINData!B14,""),"")</f>
        <v/>
      </c>
      <c r="D4" s="544">
        <f>IF(LINData!B14&gt;0,IF(LINData!C14&gt;0,LINData!C14,""),"")</f>
        <v/>
      </c>
      <c r="E4" s="545">
        <f>IF(C4&lt;&gt;"",IF(D4&lt;&gt;"",$B$9*C4+$B$10,""),"")</f>
        <v/>
      </c>
      <c r="F4" s="546">
        <f>IF(C4&lt;&gt;"",IF(D4&lt;&gt;"",(D4-E4)/$B$5*100,""),"")</f>
        <v/>
      </c>
      <c r="G4" s="128">
        <f>IF(C4&lt;&gt;"",IF(D4&lt;&gt;"",ABS(F4),""),"")</f>
        <v/>
      </c>
      <c r="H4" s="128">
        <f>IF(C4&lt;&gt;"",IF(D4&lt;&gt;"",0,""),"")</f>
        <v/>
      </c>
      <c r="J4" s="122">
        <f>INDEX(LINEST(LINData!I14:I15,LINData!H14:H15,TRUE),1,1)</f>
        <v/>
      </c>
      <c r="K4" s="121">
        <f>IF(Q8&lt;&gt;"",Q8,"")</f>
        <v/>
      </c>
      <c r="L4" s="121">
        <f>IF(R8&lt;&gt;"",R8,"")</f>
        <v/>
      </c>
      <c r="M4" s="121">
        <f>IF(S8&lt;&gt;"",S8,"")</f>
        <v/>
      </c>
      <c r="N4" s="120">
        <f>T8</f>
        <v/>
      </c>
      <c r="P4" s="368" t="n"/>
      <c r="Q4" s="368" t="n"/>
      <c r="W4" t="inlineStr">
        <is>
          <t>m/s2 RMS</t>
        </is>
      </c>
      <c r="X4" t="inlineStr">
        <is>
          <t>mm/s RMS</t>
        </is>
      </c>
      <c r="Y4" t="inlineStr">
        <is>
          <t>um</t>
        </is>
      </c>
      <c r="Z4" t="inlineStr">
        <is>
          <t>uA</t>
        </is>
      </c>
      <c r="AA4" s="169" t="inlineStr">
        <is>
          <t>in/s RMS</t>
        </is>
      </c>
      <c r="AB4" s="169" t="inlineStr">
        <is>
          <t>in/s</t>
        </is>
      </c>
    </row>
    <row r="5" ht="15" customHeight="1" s="369">
      <c r="A5" s="130" t="inlineStr">
        <is>
          <t>FS linfit (mVpk)</t>
        </is>
      </c>
      <c r="B5" s="131" t="n"/>
      <c r="C5" s="543">
        <f>IF(LINData!B15&gt;0,IF(LINData!C15&gt;0,LINData!B15,""),"")</f>
        <v/>
      </c>
      <c r="D5" s="544">
        <f>IF(LINData!B15&gt;0,IF(LINData!C15&gt;0,LINData!C15,""),"")</f>
        <v/>
      </c>
      <c r="E5" s="545">
        <f>IF(C5&lt;&gt;"",IF(D5&lt;&gt;"",$B$9*C5+$B$10,""),"")</f>
        <v/>
      </c>
      <c r="F5" s="546">
        <f>IF(C5&lt;&gt;"",IF(D5&lt;&gt;"",(D5-E5)/$B$5*100,""),"")</f>
        <v/>
      </c>
      <c r="G5" s="128">
        <f>IF(C5&lt;&gt;"",IF(D5&lt;&gt;"",ABS(F5),""),"")</f>
        <v/>
      </c>
      <c r="H5" s="128">
        <f>IF(C5&lt;&gt;"",IF(D5&lt;&gt;"",0,""),"")</f>
        <v/>
      </c>
      <c r="J5" s="134" t="inlineStr">
        <is>
          <t>INTERCEPT</t>
        </is>
      </c>
      <c r="K5" s="121">
        <f>IF(Q9&lt;&gt;"",Q9,"")</f>
        <v/>
      </c>
      <c r="L5" s="121">
        <f>IF(R9&lt;&gt;"",R9,"")</f>
        <v/>
      </c>
      <c r="M5" s="121">
        <f>IF(S9&lt;&gt;"",S9,"")</f>
        <v/>
      </c>
      <c r="N5" s="120">
        <f>T9</f>
        <v/>
      </c>
      <c r="P5" s="135" t="n"/>
      <c r="Q5" s="121" t="inlineStr">
        <is>
          <t>Test Level</t>
        </is>
      </c>
      <c r="R5" s="121" t="n"/>
      <c r="S5" s="121" t="inlineStr">
        <is>
          <t>Linfit</t>
        </is>
      </c>
      <c r="T5" s="121" t="inlineStr">
        <is>
          <t>Linearity</t>
        </is>
      </c>
      <c r="AA5" s="169" t="inlineStr">
        <is>
          <t>m/s2 pk</t>
        </is>
      </c>
      <c r="AB5" s="169" t="inlineStr">
        <is>
          <t>m/s2</t>
        </is>
      </c>
    </row>
    <row r="6" ht="15" customHeight="1" s="369">
      <c r="A6" s="130" t="inlineStr">
        <is>
          <t>max linearity</t>
        </is>
      </c>
      <c r="B6" s="136">
        <f>MAX(G4:G13)</f>
        <v/>
      </c>
      <c r="C6" s="543">
        <f>IF(LINData!B16&gt;0,IF(LINData!C16&gt;0,LINData!B16,""),"")</f>
        <v/>
      </c>
      <c r="D6" s="544">
        <f>IF(LINData!B16&gt;0,IF(LINData!C16&gt;0,LINData!C16,""),"")</f>
        <v/>
      </c>
      <c r="E6" s="545">
        <f>IF(C6&lt;&gt;"",IF(D6&lt;&gt;"",$B$9*C6+$B$10,""),"")</f>
        <v/>
      </c>
      <c r="F6" s="546">
        <f>IF(C6&lt;&gt;"",IF(D6&lt;&gt;"",(D6-E6)/$B$5*100,""),"")</f>
        <v/>
      </c>
      <c r="G6" s="128">
        <f>IF(C6&lt;&gt;"",IF(D6&lt;&gt;"",ABS(F6),""),"")</f>
        <v/>
      </c>
      <c r="H6" s="128">
        <f>IF(C6&lt;&gt;"",IF(D6&lt;&gt;"",0,""),"")</f>
        <v/>
      </c>
      <c r="J6" s="122">
        <f>INDEX(LINEST(LINData!I14:I15,LINData!H14:H15,TRUE),1,2)</f>
        <v/>
      </c>
      <c r="K6" s="121">
        <f>IF(Q10&lt;&gt;"",Q10,"")</f>
        <v/>
      </c>
      <c r="L6" s="121">
        <f>IF(R10&lt;&gt;"",R10,"")</f>
        <v/>
      </c>
      <c r="M6" s="121">
        <f>IF(S10&lt;&gt;"",S10,"")</f>
        <v/>
      </c>
      <c r="N6" s="120">
        <f>T10</f>
        <v/>
      </c>
      <c r="P6" s="137" t="inlineStr">
        <is>
          <t>Point</t>
        </is>
      </c>
      <c r="Q6" s="137">
        <f>LINData!H13</f>
        <v/>
      </c>
      <c r="R6" s="137">
        <f>LINData!I13</f>
        <v/>
      </c>
      <c r="S6" s="547">
        <f>L2</f>
        <v/>
      </c>
      <c r="T6" s="139" t="inlineStr">
        <is>
          <t>%</t>
        </is>
      </c>
      <c r="AA6" s="169" t="inlineStr">
        <is>
          <t>m/s2 RMS</t>
        </is>
      </c>
      <c r="AB6" s="169" t="inlineStr">
        <is>
          <t>m/s2</t>
        </is>
      </c>
    </row>
    <row r="7" ht="15" customHeight="1" s="369">
      <c r="A7" s="130">
        <f>"Sensitivity ("&amp;LINData!B11&amp;")"</f>
        <v/>
      </c>
      <c r="B7" s="131">
        <f>$B$4</f>
        <v/>
      </c>
      <c r="C7" s="543">
        <f>IF(LINData!B17&gt;0,IF(LINData!C17&gt;0,LINData!B17,""),"")</f>
        <v/>
      </c>
      <c r="D7" s="544">
        <f>IF(LINData!B17&gt;0,IF(LINData!C17&gt;0,LINData!C17,""),"")</f>
        <v/>
      </c>
      <c r="E7" s="545">
        <f>IF(C7&lt;&gt;"",IF(D7&lt;&gt;"",$B$9*C7+$B$10,""),"")</f>
        <v/>
      </c>
      <c r="F7" s="546">
        <f>IF(C7&lt;&gt;"",IF(D7&lt;&gt;"",(D7-E7)/$B$5*100,""),"")</f>
        <v/>
      </c>
      <c r="G7" s="128">
        <f>IF(C7&lt;&gt;"",IF(D7&lt;&gt;"",ABS(F7),""),"")</f>
        <v/>
      </c>
      <c r="H7" s="128">
        <f>IF(C7&lt;&gt;"",IF(D7&lt;&gt;"",0,""),"")</f>
        <v/>
      </c>
      <c r="J7" s="134" t="inlineStr">
        <is>
          <t>ymax</t>
        </is>
      </c>
      <c r="K7" s="121">
        <f>IF(Q11&lt;&gt;"",Q11,"")</f>
        <v/>
      </c>
      <c r="L7" s="121">
        <f>IF(R11&lt;&gt;"",R11,"")</f>
        <v/>
      </c>
      <c r="M7" s="121">
        <f>IF(S11&lt;&gt;"",S11,"")</f>
        <v/>
      </c>
      <c r="N7" s="120">
        <f>T11</f>
        <v/>
      </c>
      <c r="P7" s="137" t="inlineStr">
        <is>
          <t>Reference</t>
        </is>
      </c>
      <c r="Q7" s="121">
        <f>IF(LINData!H14&lt;&gt;"",LINData!H14,"")</f>
        <v/>
      </c>
      <c r="R7" s="121">
        <f>IF(LINData!I14&lt;&gt;"",LINData!I14,"")</f>
        <v/>
      </c>
      <c r="S7" s="548">
        <f>IF(Q7&lt;&gt;"",Q7*$J$4+$J$6,"")</f>
        <v/>
      </c>
      <c r="T7" s="191">
        <f>IF(Q7&lt;&gt;"",ABS(R7/S7-1),"")</f>
        <v/>
      </c>
      <c r="AA7" s="169" t="inlineStr">
        <is>
          <t>mil p-p</t>
        </is>
      </c>
      <c r="AB7" s="169" t="inlineStr">
        <is>
          <t>mil</t>
        </is>
      </c>
    </row>
    <row r="8" ht="15" customHeight="1" s="369">
      <c r="A8" s="130" t="n"/>
      <c r="B8" s="131" t="n"/>
      <c r="C8" s="543">
        <f>IF(LINData!B18&gt;0,IF(LINData!C18&gt;0,LINData!B18,""),"")</f>
        <v/>
      </c>
      <c r="D8" s="544">
        <f>IF(LINData!B18&gt;0,IF(LINData!C18&gt;0,LINData!C18,""),"")</f>
        <v/>
      </c>
      <c r="E8" s="545">
        <f>IF(C8&lt;&gt;"",IF(D8&lt;&gt;"",$B$9*C8+$B$10,""),"")</f>
        <v/>
      </c>
      <c r="F8" s="546">
        <f>IF(C8&lt;&gt;"",IF(D8&lt;&gt;"",(D8-E8)/$B$5*100,""),"")</f>
        <v/>
      </c>
      <c r="G8" s="128">
        <f>IF(C8&lt;&gt;"",IF(D8&lt;&gt;"",ABS(F8),""),"")</f>
        <v/>
      </c>
      <c r="H8" s="128">
        <f>IF(C8&lt;&gt;"",IF(D8&lt;&gt;"",0,""),"")</f>
        <v/>
      </c>
      <c r="J8" s="122">
        <f>MAX(L3:L27)</f>
        <v/>
      </c>
      <c r="K8" s="121">
        <f>IF(Q12&lt;&gt;"",Q12,"")</f>
        <v/>
      </c>
      <c r="L8" s="121">
        <f>IF(R12&lt;&gt;"",R12,"")</f>
        <v/>
      </c>
      <c r="M8" s="121">
        <f>IF(S12&lt;&gt;"",S12,"")</f>
        <v/>
      </c>
      <c r="N8" s="120">
        <f>T12</f>
        <v/>
      </c>
      <c r="P8" s="140" t="n">
        <v>1</v>
      </c>
      <c r="Q8" s="121">
        <f>IF(LINData!H15&lt;&gt;"",LINData!H15,"")</f>
        <v/>
      </c>
      <c r="R8" s="121">
        <f>IF(LINData!I15&lt;&gt;"",LINData!I15,"")</f>
        <v/>
      </c>
      <c r="S8" s="548">
        <f>IF(Q8&lt;&gt;"",Q8*$J$4+$J$6,"")</f>
        <v/>
      </c>
      <c r="T8" s="191">
        <f>IF(Q8&lt;&gt;"",ABS(R8/S8-1),"")</f>
        <v/>
      </c>
      <c r="AA8" s="169" t="inlineStr">
        <is>
          <t>mm/s pk</t>
        </is>
      </c>
      <c r="AB8" s="169" t="inlineStr">
        <is>
          <t>mm/s</t>
        </is>
      </c>
    </row>
    <row r="9" ht="15" customHeight="1" s="369">
      <c r="A9" s="130" t="inlineStr">
        <is>
          <t>Slope:</t>
        </is>
      </c>
      <c r="B9" s="131">
        <f>INDEX(LINEST(D4:D4,C4:C4,TRUE),1,1)</f>
        <v/>
      </c>
      <c r="C9" s="543">
        <f>IF(LINData!B19&gt;0,IF(LINData!C19&gt;0,LINData!B19,""),"")</f>
        <v/>
      </c>
      <c r="D9" s="544">
        <f>IF(LINData!B19&gt;0,IF(LINData!C19&gt;0,LINData!C19,""),"")</f>
        <v/>
      </c>
      <c r="E9" s="545">
        <f>IF(C9&lt;&gt;"",IF(D9&lt;&gt;"",$B$9*C9+$B$10,""),"")</f>
        <v/>
      </c>
      <c r="F9" s="546">
        <f>IF(C9&lt;&gt;"",IF(D9&lt;&gt;"",(D9-E9)/$B$5*100,""),"")</f>
        <v/>
      </c>
      <c r="G9" s="128">
        <f>IF(C9&lt;&gt;"",IF(D9&lt;&gt;"",ABS(F9),""),"")</f>
        <v/>
      </c>
      <c r="H9" s="128">
        <f>IF(C9&lt;&gt;"",IF(D9&lt;&gt;"",0,""),"")</f>
        <v/>
      </c>
      <c r="J9" s="134" t="inlineStr">
        <is>
          <t>xmax</t>
        </is>
      </c>
      <c r="K9" s="121">
        <f>IF(Q13&lt;&gt;"",Q13,"")</f>
        <v/>
      </c>
      <c r="L9" s="121">
        <f>IF(R13&lt;&gt;"",R13,"")</f>
        <v/>
      </c>
      <c r="M9" s="121">
        <f>IF(S13&lt;&gt;"",S13,"")</f>
        <v/>
      </c>
      <c r="N9" s="120">
        <f>T13</f>
        <v/>
      </c>
      <c r="P9" s="140" t="n">
        <v>2</v>
      </c>
      <c r="Q9" s="121">
        <f>IF(LINData!H16&lt;&gt;"",LINData!H16,"")</f>
        <v/>
      </c>
      <c r="R9" s="121">
        <f>IF(LINData!I16&lt;&gt;"",LINData!I16,"")</f>
        <v/>
      </c>
      <c r="S9" s="548">
        <f>IF(Q9&lt;&gt;"",Q9*$J$4+$J$6,"")</f>
        <v/>
      </c>
      <c r="T9" s="191">
        <f>IF(Q9&lt;&gt;"",ABS(R9/S9-1),"")</f>
        <v/>
      </c>
      <c r="AA9" s="169" t="inlineStr">
        <is>
          <t>mm/s RMS</t>
        </is>
      </c>
      <c r="AB9" s="169" t="inlineStr">
        <is>
          <t>mm/s</t>
        </is>
      </c>
    </row>
    <row r="10" ht="15" customHeight="1" s="369">
      <c r="A10" s="130" t="inlineStr">
        <is>
          <t>Y-Intercept</t>
        </is>
      </c>
      <c r="B10" s="131">
        <f>INDEX(LINEST(D4:D4,C4:C4,TRUE),1,2)</f>
        <v/>
      </c>
      <c r="C10" s="543">
        <f>IF(LINData!B20&gt;0,IF(LINData!C20&gt;0,LINData!B20,""),"")</f>
        <v/>
      </c>
      <c r="D10" s="544">
        <f>IF(LINData!B20&gt;0,IF(LINData!C20&gt;0,LINData!C20,""),"")</f>
        <v/>
      </c>
      <c r="E10" s="545">
        <f>IF(C10&lt;&gt;"",IF(D10&lt;&gt;"",$B$9*C10+$B$10,""),"")</f>
        <v/>
      </c>
      <c r="F10" s="546">
        <f>IF(C10&lt;&gt;"",IF(D10&lt;&gt;"",(D10-E10)/$B$5*100,""),"")</f>
        <v/>
      </c>
      <c r="G10" s="128">
        <f>IF(C10&lt;&gt;"",IF(D10&lt;&gt;"",ABS(F10),""),"")</f>
        <v/>
      </c>
      <c r="H10" s="128">
        <f>IF(C10&lt;&gt;"",IF(D10&lt;&gt;"",0,""),"")</f>
        <v/>
      </c>
      <c r="J10" s="122">
        <f>MAX(K3:K27)</f>
        <v/>
      </c>
      <c r="K10" s="121">
        <f>IF(Q14&lt;&gt;"",Q14,"")</f>
        <v/>
      </c>
      <c r="L10" s="121">
        <f>IF(R14&lt;&gt;"",R14,"")</f>
        <v/>
      </c>
      <c r="M10" s="121">
        <f>IF(S14&lt;&gt;"",S14,"")</f>
        <v/>
      </c>
      <c r="N10" s="120">
        <f>T14</f>
        <v/>
      </c>
      <c r="P10" s="140" t="n">
        <v>3</v>
      </c>
      <c r="Q10" s="121">
        <f>IF(LINData!H17&lt;&gt;"",LINData!H17,"")</f>
        <v/>
      </c>
      <c r="R10" s="121">
        <f>IF(LINData!I17&lt;&gt;"",LINData!I17,"")</f>
        <v/>
      </c>
      <c r="S10" s="548">
        <f>IF(Q10&lt;&gt;"",Q10*$J$4+$J$6,"")</f>
        <v/>
      </c>
      <c r="T10" s="191">
        <f>IF(Q10&lt;&gt;"",ABS(R10/S10-1),"")</f>
        <v/>
      </c>
      <c r="AA10" s="169" t="inlineStr">
        <is>
          <t>um p-p</t>
        </is>
      </c>
      <c r="AB10" s="169" t="inlineStr">
        <is>
          <t>um</t>
        </is>
      </c>
    </row>
    <row r="11" ht="15" customHeight="1" s="369">
      <c r="A11" s="130" t="inlineStr">
        <is>
          <t>xMax</t>
        </is>
      </c>
      <c r="B11" s="549">
        <f>MAX(C3:C33)</f>
        <v/>
      </c>
      <c r="C11" s="543">
        <f>IF(LINData!B21&gt;0,IF(LINData!C21&gt;0,LINData!B21,""),"")</f>
        <v/>
      </c>
      <c r="D11" s="544">
        <f>IF(LINData!B21&gt;0,IF(LINData!C21&gt;0,LINData!C21,""),"")</f>
        <v/>
      </c>
      <c r="E11" s="545">
        <f>IF(C11&lt;&gt;"",IF(D11&lt;&gt;"",$B$9*C11+$B$10,""),"")</f>
        <v/>
      </c>
      <c r="F11" s="546">
        <f>IF(C11&lt;&gt;"",IF(D11&lt;&gt;"",(D11-E11)/$B$5*100,""),"")</f>
        <v/>
      </c>
      <c r="G11" s="128">
        <f>IF(C11&lt;&gt;"",IF(D11&lt;&gt;"",ABS(F11),""),"")</f>
        <v/>
      </c>
      <c r="H11" s="128">
        <f>IF(C11&lt;&gt;"",IF(D11&lt;&gt;"",0,""),"")</f>
        <v/>
      </c>
      <c r="J11" s="134" t="inlineStr">
        <is>
          <t>sensitivity</t>
        </is>
      </c>
      <c r="K11" s="121">
        <f>IF(Q15&lt;&gt;"",Q15,"")</f>
        <v/>
      </c>
      <c r="L11" s="121">
        <f>IF(R15&lt;&gt;"",R15,"")</f>
        <v/>
      </c>
      <c r="M11" s="121">
        <f>IF(S15&lt;&gt;"",S15,"")</f>
        <v/>
      </c>
      <c r="N11" s="120">
        <f>T15</f>
        <v/>
      </c>
      <c r="P11" s="140" t="n">
        <v>4</v>
      </c>
      <c r="Q11" s="121">
        <f>IF(LINData!H18&lt;&gt;"",LINData!H18,"")</f>
        <v/>
      </c>
      <c r="R11" s="121">
        <f>IF(LINData!I18&lt;&gt;"",LINData!I18,"")</f>
        <v/>
      </c>
      <c r="S11" s="548">
        <f>IF(Q11&lt;&gt;"",Q11*$J$4+$J$6,"")</f>
        <v/>
      </c>
      <c r="T11" s="191">
        <f>IF(Q11&lt;&gt;"",ABS(R11/S11-1),"")</f>
        <v/>
      </c>
    </row>
    <row r="12" ht="15" customHeight="1" s="369">
      <c r="A12" s="130" t="inlineStr">
        <is>
          <t>yMax</t>
        </is>
      </c>
      <c r="B12" s="549">
        <f>MAX(D4:E33)</f>
        <v/>
      </c>
      <c r="C12" s="543">
        <f>IF(LINData!B22&gt;0,IF(LINData!C22&gt;0,LINData!B22,""),"")</f>
        <v/>
      </c>
      <c r="D12" s="544">
        <f>IF(LINData!B22&gt;0,IF(LINData!C22&gt;0,LINData!C22,""),"")</f>
        <v/>
      </c>
      <c r="E12" s="545">
        <f>IF(C12&lt;&gt;"",IF(D12&lt;&gt;"",$B$9*C12+$B$10,""),"")</f>
        <v/>
      </c>
      <c r="F12" s="546">
        <f>IF(C12&lt;&gt;"",IF(D12&lt;&gt;"",(D12-E12)/$B$5*100,""),"")</f>
        <v/>
      </c>
      <c r="G12" s="128">
        <f>IF(C12&lt;&gt;"",IF(D12&lt;&gt;"",ABS(F12),""),"")</f>
        <v/>
      </c>
      <c r="H12" s="128">
        <f>IF(C12&lt;&gt;"",IF(D12&lt;&gt;"",0,""),"")</f>
        <v/>
      </c>
      <c r="J12" s="134">
        <f>IF(Q7&lt;&gt;"",J4,"")</f>
        <v/>
      </c>
      <c r="K12" s="121">
        <f>IF(Q16&lt;&gt;"",Q16,"")</f>
        <v/>
      </c>
      <c r="L12" s="121">
        <f>IF(R16&lt;&gt;"",R16,"")</f>
        <v/>
      </c>
      <c r="M12" s="121">
        <f>IF(S16&lt;&gt;"",S16,"")</f>
        <v/>
      </c>
      <c r="N12" s="120">
        <f>T16</f>
        <v/>
      </c>
      <c r="P12" s="140" t="n">
        <v>5</v>
      </c>
      <c r="Q12" s="121">
        <f>IF(LINData!H19&lt;&gt;"",LINData!H19,"")</f>
        <v/>
      </c>
      <c r="R12" s="121">
        <f>IF(LINData!I19&lt;&gt;"",LINData!I19,"")</f>
        <v/>
      </c>
      <c r="S12" s="548">
        <f>IF(Q12&lt;&gt;"",Q12*$J$4+$J$6,"")</f>
        <v/>
      </c>
      <c r="T12" s="191">
        <f>IF(Q12&lt;&gt;"",ABS(R12/S12-1),"")</f>
        <v/>
      </c>
      <c r="AD12" t="b">
        <v>0</v>
      </c>
    </row>
    <row r="13">
      <c r="A13" s="130" t="inlineStr">
        <is>
          <t>xMin</t>
        </is>
      </c>
      <c r="B13" s="549">
        <f>MIN(C4:C33)</f>
        <v/>
      </c>
      <c r="C13" s="543">
        <f>IF(LINData!B23&gt;0,IF(LINData!C23&gt;0,LINData!B23,""),"")</f>
        <v/>
      </c>
      <c r="D13" s="544">
        <f>IF(LINData!B23&gt;0,IF(LINData!C23&gt;0,LINData!C23,""),"")</f>
        <v/>
      </c>
      <c r="E13" s="545">
        <f>IF(C13&lt;&gt;"",IF(D13&lt;&gt;"",$B$9*C13+$B$10,""),"")</f>
        <v/>
      </c>
      <c r="F13" s="546">
        <f>IF(C13&lt;&gt;"",IF(D13&lt;&gt;"",(D13-E13)/$B$5*100,""),"")</f>
        <v/>
      </c>
      <c r="G13" s="128">
        <f>IF(C13&lt;&gt;"",IF(D13&lt;&gt;"",ABS(F13),""),"")</f>
        <v/>
      </c>
      <c r="H13" s="128">
        <f>IF(C13&lt;&gt;"",IF(D13&lt;&gt;"",0,""),"")</f>
        <v/>
      </c>
      <c r="J13" s="144" t="n"/>
      <c r="K13" s="121">
        <f>IF(Q17&lt;&gt;"",Q17,"")</f>
        <v/>
      </c>
      <c r="L13" s="121">
        <f>IF(R17&lt;&gt;"",R17,"")</f>
        <v/>
      </c>
      <c r="M13" s="121">
        <f>IF(S17&lt;&gt;"",S17,"")</f>
        <v/>
      </c>
      <c r="N13" s="120">
        <f>T17</f>
        <v/>
      </c>
      <c r="P13" s="140" t="n">
        <v>6</v>
      </c>
      <c r="Q13" s="121">
        <f>IF(LINData!H20&lt;&gt;"",LINData!H20,"")</f>
        <v/>
      </c>
      <c r="R13" s="121">
        <f>IF(LINData!I20&lt;&gt;"",LINData!I20,"")</f>
        <v/>
      </c>
      <c r="S13" s="548">
        <f>IF(Q13&lt;&gt;"",Q13*$J$4+$J$6,"")</f>
        <v/>
      </c>
      <c r="T13" s="191">
        <f>IF(Q13&lt;&gt;"",ABS(R13/S13-1),"")</f>
        <v/>
      </c>
    </row>
    <row r="14" ht="15" customHeight="1" s="369">
      <c r="A14" s="142" t="n"/>
      <c r="B14" s="550" t="n"/>
      <c r="C14" s="543">
        <f>IF(LINData!B24&gt;0,IF(LINData!C24&gt;0,LINData!B24,""),"")</f>
        <v/>
      </c>
      <c r="D14" s="544">
        <f>IF(LINData!B24&gt;0,IF(LINData!C24&gt;0,LINData!C24,""),"")</f>
        <v/>
      </c>
      <c r="E14" s="545">
        <f>IF(C14&lt;&gt;"",IF(D14&lt;&gt;"",$B$9*C14+$B$10,""),"")</f>
        <v/>
      </c>
      <c r="F14" s="546">
        <f>IF(C14&lt;&gt;"",IF(D14&lt;&gt;"",(D14-E14)/$B$5*100,""),"")</f>
        <v/>
      </c>
      <c r="G14" s="128">
        <f>IF(C14&lt;&gt;"",IF(D14&lt;&gt;"",ABS(F14),""),"")</f>
        <v/>
      </c>
      <c r="H14" s="128">
        <f>IF(C14&lt;&gt;"",IF(D14&lt;&gt;"",0,""),"")</f>
        <v/>
      </c>
      <c r="J14" s="145" t="n"/>
      <c r="K14" s="121">
        <f>IF(Q18&lt;&gt;"",Q18,"")</f>
        <v/>
      </c>
      <c r="L14" s="121">
        <f>IF(R18&lt;&gt;"",R18,"")</f>
        <v/>
      </c>
      <c r="M14" s="121">
        <f>IF(S18&lt;&gt;"",S18,"")</f>
        <v/>
      </c>
      <c r="N14" s="120">
        <f>T18</f>
        <v/>
      </c>
      <c r="P14" s="140" t="n">
        <v>7</v>
      </c>
      <c r="Q14" s="121">
        <f>IF(LINData!H21&lt;&gt;"",LINData!H21,"")</f>
        <v/>
      </c>
      <c r="R14" s="121">
        <f>IF(LINData!I21&lt;&gt;"",LINData!I21,"")</f>
        <v/>
      </c>
      <c r="S14" s="548">
        <f>IF(Q14&lt;&gt;"",Q14*$J$4+$J$6,"")</f>
        <v/>
      </c>
      <c r="T14" s="191">
        <f>IF(Q14&lt;&gt;"",ABS(R14/S14-1),"")</f>
        <v/>
      </c>
      <c r="AA14" s="169" t="n"/>
      <c r="AB14" s="169" t="n"/>
    </row>
    <row r="15" ht="15" customHeight="1" s="369">
      <c r="A15" s="142" t="n"/>
      <c r="B15" s="550" t="n"/>
      <c r="C15" s="543">
        <f>IF(LINData!B25&gt;0,IF(LINData!C25&gt;0,LINData!B25,""),"")</f>
        <v/>
      </c>
      <c r="D15" s="544">
        <f>IF(LINData!B25&gt;0,IF(LINData!C25&gt;0,LINData!C25,""),"")</f>
        <v/>
      </c>
      <c r="E15" s="545">
        <f>IF(C15&lt;&gt;"",IF(D15&lt;&gt;"",$B$9*C15+$B$10,""),"")</f>
        <v/>
      </c>
      <c r="F15" s="546">
        <f>IF(C15&lt;&gt;"",IF(D15&lt;&gt;"",(D15-E15)/$B$5*100,""),"")</f>
        <v/>
      </c>
      <c r="G15" s="128">
        <f>IF(C15&lt;&gt;"",IF(D15&lt;&gt;"",ABS(F15),""),"")</f>
        <v/>
      </c>
      <c r="H15" s="128">
        <f>IF(C15&lt;&gt;"",IF(D15&lt;&gt;"",0,""),"")</f>
        <v/>
      </c>
      <c r="J15" s="145" t="n"/>
      <c r="K15" s="121">
        <f>IF(Q19&lt;&gt;"",Q19,"")</f>
        <v/>
      </c>
      <c r="L15" s="121">
        <f>IF(R19&lt;&gt;"",R19,"")</f>
        <v/>
      </c>
      <c r="M15" s="121">
        <f>IF(S19&lt;&gt;"",S19,"")</f>
        <v/>
      </c>
      <c r="N15" s="120">
        <f>T19</f>
        <v/>
      </c>
      <c r="P15" s="140" t="n">
        <v>8</v>
      </c>
      <c r="Q15" s="121">
        <f>IF(LINData!H22&lt;&gt;"",LINData!H22,"")</f>
        <v/>
      </c>
      <c r="R15" s="121">
        <f>IF(LINData!I22&lt;&gt;"",LINData!I22,"")</f>
        <v/>
      </c>
      <c r="S15" s="548">
        <f>IF(Q15&lt;&gt;"",Q15*$J$4+$J$6,"")</f>
        <v/>
      </c>
      <c r="T15" s="191">
        <f>IF(Q15&lt;&gt;"",ABS(R15/S15-1),"")</f>
        <v/>
      </c>
      <c r="AA15" s="169" t="n"/>
      <c r="AB15" s="169" t="n"/>
    </row>
    <row r="16" ht="15" customHeight="1" s="369">
      <c r="A16" s="142" t="n"/>
      <c r="B16" s="550" t="n"/>
      <c r="C16" s="543">
        <f>IF(LINData!B26&gt;0,IF(LINData!C26&gt;0,LINData!B26,""),"")</f>
        <v/>
      </c>
      <c r="D16" s="544">
        <f>IF(LINData!B26&gt;0,IF(LINData!C26&gt;0,LINData!C26,""),"")</f>
        <v/>
      </c>
      <c r="E16" s="545">
        <f>IF(C16&lt;&gt;"",IF(D16&lt;&gt;"",$B$9*C16+$B$10,""),"")</f>
        <v/>
      </c>
      <c r="F16" s="546">
        <f>IF(C16&lt;&gt;"",IF(D16&lt;&gt;"",(D16-E16)/$B$5*100,""),"")</f>
        <v/>
      </c>
      <c r="G16" s="128">
        <f>IF(C16&lt;&gt;"",IF(D16&lt;&gt;"",ABS(F16),""),"")</f>
        <v/>
      </c>
      <c r="H16" s="128">
        <f>IF(C16&lt;&gt;"",IF(D16&lt;&gt;"",0,""),"")</f>
        <v/>
      </c>
      <c r="J16" s="145" t="n"/>
      <c r="K16" s="121">
        <f>IF(Q20&lt;&gt;"",Q20,"")</f>
        <v/>
      </c>
      <c r="L16" s="121">
        <f>IF(R20&lt;&gt;"",R20,"")</f>
        <v/>
      </c>
      <c r="M16" s="121">
        <f>IF(S20&lt;&gt;"",S20,"")</f>
        <v/>
      </c>
      <c r="N16" s="120">
        <f>T20</f>
        <v/>
      </c>
      <c r="P16" s="140" t="n">
        <v>9</v>
      </c>
      <c r="Q16" s="121">
        <f>IF(LINData!H23&lt;&gt;"",LINData!H23,"")</f>
        <v/>
      </c>
      <c r="R16" s="121">
        <f>IF(LINData!I23&lt;&gt;"",LINData!I23,"")</f>
        <v/>
      </c>
      <c r="S16" s="548">
        <f>IF(Q16&lt;&gt;"",Q16*$J$4+$J$6,"")</f>
        <v/>
      </c>
      <c r="T16" s="191">
        <f>IF(Q16&lt;&gt;"",ABS(R16/S16-1),"")</f>
        <v/>
      </c>
      <c r="V16" s="169" t="n"/>
      <c r="W16" s="169" t="n"/>
      <c r="X16" s="169" t="n"/>
      <c r="Y16" s="169" t="n"/>
      <c r="Z16" s="169" t="n"/>
      <c r="AC16" s="169" t="n"/>
      <c r="AD16" s="169" t="n"/>
      <c r="AE16" s="195" t="n"/>
      <c r="AF16" s="169" t="n"/>
      <c r="AG16" s="169" t="n"/>
    </row>
    <row r="17" ht="15" customHeight="1" s="369">
      <c r="A17" s="142" t="n"/>
      <c r="B17" s="550" t="n"/>
      <c r="C17" s="543">
        <f>IF(LINData!B27&gt;0,IF(LINData!C27&gt;0,LINData!B27,""),"")</f>
        <v/>
      </c>
      <c r="D17" s="544">
        <f>IF(LINData!B27&gt;0,IF(LINData!C27&gt;0,LINData!C27,""),"")</f>
        <v/>
      </c>
      <c r="E17" s="545">
        <f>IF(C17&lt;&gt;"",IF(D17&lt;&gt;"",$B$9*C17+$B$10,""),"")</f>
        <v/>
      </c>
      <c r="F17" s="546">
        <f>IF(C17&lt;&gt;"",IF(D17&lt;&gt;"",(D17-E17)/$B$5*100,""),"")</f>
        <v/>
      </c>
      <c r="G17" s="128">
        <f>IF(C17&lt;&gt;"",IF(D17&lt;&gt;"",ABS(F17),""),"")</f>
        <v/>
      </c>
      <c r="H17" s="128">
        <f>IF(C17&lt;&gt;"",IF(D17&lt;&gt;"",0,""),"")</f>
        <v/>
      </c>
      <c r="J17" s="145" t="n"/>
      <c r="K17" s="121">
        <f>IF(Q21&lt;&gt;"",Q21,"")</f>
        <v/>
      </c>
      <c r="L17" s="121">
        <f>IF(R21&lt;&gt;"",R21,"")</f>
        <v/>
      </c>
      <c r="M17" s="121">
        <f>IF(S21&lt;&gt;"",S21,"")</f>
        <v/>
      </c>
      <c r="N17" s="120">
        <f>T21</f>
        <v/>
      </c>
      <c r="P17" s="140" t="n">
        <v>10</v>
      </c>
      <c r="Q17" s="121">
        <f>IF(LINData!H24&lt;&gt;"",LINData!H24,"")</f>
        <v/>
      </c>
      <c r="R17" s="121">
        <f>IF(LINData!I24&lt;&gt;"",LINData!I24,"")</f>
        <v/>
      </c>
      <c r="S17" s="548">
        <f>IF(Q17&lt;&gt;"",Q17*$J$4+$J$6,"")</f>
        <v/>
      </c>
      <c r="T17" s="191">
        <f>IF(Q17&lt;&gt;"",ABS(R17/S17-1),"")</f>
        <v/>
      </c>
      <c r="V17" s="169" t="n"/>
      <c r="W17" s="169" t="n"/>
      <c r="X17" s="169" t="n"/>
      <c r="Y17" s="169" t="n"/>
      <c r="Z17" s="169" t="n"/>
      <c r="AC17" s="169" t="n"/>
      <c r="AD17" s="169" t="n"/>
      <c r="AE17" s="169" t="n"/>
      <c r="AF17" s="169" t="n"/>
      <c r="AG17" s="169" t="n"/>
    </row>
    <row r="18">
      <c r="A18" s="142" t="n"/>
      <c r="B18" s="550" t="n"/>
      <c r="C18" s="543">
        <f>IF(LINData!B28&gt;0,IF(LINData!C28&gt;0,LINData!B28,""),"")</f>
        <v/>
      </c>
      <c r="D18" s="544">
        <f>IF(LINData!B28&gt;0,IF(LINData!C28&gt;0,LINData!C28,""),"")</f>
        <v/>
      </c>
      <c r="E18" s="545">
        <f>IF(C18&lt;&gt;"",IF(D18&lt;&gt;"",$B$9*C18+$B$10,""),"")</f>
        <v/>
      </c>
      <c r="F18" s="546">
        <f>IF(C18&lt;&gt;"",IF(D18&lt;&gt;"",(D18-E18)/$B$5*100,""),"")</f>
        <v/>
      </c>
      <c r="G18" s="128">
        <f>IF(C18&lt;&gt;"",IF(D18&lt;&gt;"",ABS(F18),""),"")</f>
        <v/>
      </c>
      <c r="H18" s="128">
        <f>IF(C18&lt;&gt;"",IF(D18&lt;&gt;"",0,""),"")</f>
        <v/>
      </c>
      <c r="J18" s="145" t="n"/>
      <c r="K18" s="121">
        <f>IF(Q22&lt;&gt;"",Q22,"")</f>
        <v/>
      </c>
      <c r="L18" s="121">
        <f>IF(R22&lt;&gt;"",R22,"")</f>
        <v/>
      </c>
      <c r="M18" s="121">
        <f>IF(S22&lt;&gt;"",S22,"")</f>
        <v/>
      </c>
      <c r="N18" s="120">
        <f>T22</f>
        <v/>
      </c>
      <c r="P18" s="140" t="n">
        <v>11</v>
      </c>
      <c r="Q18" s="121">
        <f>IF(LINData!H25&lt;&gt;"",LINData!H25,"")</f>
        <v/>
      </c>
      <c r="R18" s="121">
        <f>IF(LINData!I25&lt;&gt;"",LINData!I25,"")</f>
        <v/>
      </c>
      <c r="S18" s="548">
        <f>IF(Q18&lt;&gt;"",Q18*$J$4+$J$6,"")</f>
        <v/>
      </c>
      <c r="T18" s="191">
        <f>IF(Q18&lt;&gt;"",ABS(R18/S18-1),"")</f>
        <v/>
      </c>
    </row>
    <row r="19">
      <c r="A19" s="142" t="n"/>
      <c r="B19" s="550" t="n"/>
      <c r="C19" s="543">
        <f>IF(LINData!B29&gt;0,IF(LINData!C29&gt;0,LINData!B29,""),"")</f>
        <v/>
      </c>
      <c r="D19" s="544">
        <f>IF(LINData!B29&gt;0,IF(LINData!C29&gt;0,LINData!C29,""),"")</f>
        <v/>
      </c>
      <c r="E19" s="545">
        <f>IF(C19&lt;&gt;"",IF(D19&lt;&gt;"",$B$9*C19+$B$10,""),"")</f>
        <v/>
      </c>
      <c r="F19" s="546">
        <f>IF(C19&lt;&gt;"",IF(D19&lt;&gt;"",(D19-E19)/$B$5*100,""),"")</f>
        <v/>
      </c>
      <c r="G19" s="128">
        <f>IF(C19&lt;&gt;"",IF(D19&lt;&gt;"",ABS(F19),""),"")</f>
        <v/>
      </c>
      <c r="H19" s="128">
        <f>IF(C19&lt;&gt;"",IF(D19&lt;&gt;"",0,""),"")</f>
        <v/>
      </c>
      <c r="J19" s="145" t="n"/>
      <c r="K19" s="121">
        <f>IF(Q23&lt;&gt;"",Q23,"")</f>
        <v/>
      </c>
      <c r="L19" s="121">
        <f>IF(R23&lt;&gt;"",R23,"")</f>
        <v/>
      </c>
      <c r="M19" s="121">
        <f>IF(S23&lt;&gt;"",S23,"")</f>
        <v/>
      </c>
      <c r="N19" s="120">
        <f>T23</f>
        <v/>
      </c>
      <c r="P19" s="140" t="n">
        <v>12</v>
      </c>
      <c r="Q19" s="121">
        <f>IF(LINData!H26&lt;&gt;"",LINData!H26,"")</f>
        <v/>
      </c>
      <c r="R19" s="121">
        <f>IF(LINData!I26&lt;&gt;"",LINData!I26,"")</f>
        <v/>
      </c>
      <c r="S19" s="548">
        <f>IF(Q19&lt;&gt;"",Q19*$J$4+$J$6,"")</f>
        <v/>
      </c>
      <c r="T19" s="191">
        <f>IF(Q19&lt;&gt;"",ABS(R19/S19-1),"")</f>
        <v/>
      </c>
    </row>
    <row r="20">
      <c r="C20" s="543">
        <f>IF(LINData!B30&gt;0,IF(LINData!C30&gt;0,LINData!B30,""),"")</f>
        <v/>
      </c>
      <c r="D20" s="544">
        <f>IF(LINData!B30&gt;0,IF(LINData!C30&gt;0,LINData!C30,""),"")</f>
        <v/>
      </c>
      <c r="E20" s="545">
        <f>IF(C20&lt;&gt;"",IF(D20&lt;&gt;"",$B$9*C20+$B$10,""),"")</f>
        <v/>
      </c>
      <c r="F20" s="546">
        <f>IF(C20&lt;&gt;"",IF(D20&lt;&gt;"",(D20-E20)/$B$5*100,""),"")</f>
        <v/>
      </c>
      <c r="G20" s="128">
        <f>IF(C20&lt;&gt;"",IF(D20&lt;&gt;"",ABS(F20),""),"")</f>
        <v/>
      </c>
      <c r="H20" s="128">
        <f>IF(C20&lt;&gt;"",IF(D20&lt;&gt;"",0,""),"")</f>
        <v/>
      </c>
      <c r="J20" s="146" t="n"/>
      <c r="K20" s="121">
        <f>IF(Q24&lt;&gt;"",Q24,"")</f>
        <v/>
      </c>
      <c r="L20" s="121">
        <f>IF(R24&lt;&gt;"",R24,"")</f>
        <v/>
      </c>
      <c r="M20" s="121">
        <f>IF(S24&lt;&gt;"",S24,"")</f>
        <v/>
      </c>
      <c r="N20" s="120">
        <f>T24</f>
        <v/>
      </c>
      <c r="P20" s="140" t="n">
        <v>13</v>
      </c>
      <c r="Q20" s="121">
        <f>IF(LINData!H27&lt;&gt;"",LINData!H27,"")</f>
        <v/>
      </c>
      <c r="R20" s="121">
        <f>IF(LINData!I27&lt;&gt;"",LINData!I27,"")</f>
        <v/>
      </c>
      <c r="S20" s="548">
        <f>IF(Q20&lt;&gt;"",Q20*$J$4+$J$6,"")</f>
        <v/>
      </c>
      <c r="T20" s="191">
        <f>IF(Q20&lt;&gt;"",ABS(R20/S20-1),"")</f>
        <v/>
      </c>
    </row>
    <row r="21">
      <c r="C21" s="543">
        <f>IF(LINData!B31&gt;0,IF(LINData!C31&gt;0,LINData!B31,""),"")</f>
        <v/>
      </c>
      <c r="D21" s="544">
        <f>IF(LINData!B31&gt;0,IF(LINData!C31&gt;0,LINData!C31,""),"")</f>
        <v/>
      </c>
      <c r="E21" s="545">
        <f>IF(C21&lt;&gt;"",IF(D21&lt;&gt;"",$B$9*C21+$B$10,""),"")</f>
        <v/>
      </c>
      <c r="F21" s="546">
        <f>IF(C21&lt;&gt;"",IF(D21&lt;&gt;"",(D21-E21)/$B$5*100,""),"")</f>
        <v/>
      </c>
      <c r="G21" s="128">
        <f>IF(C21&lt;&gt;"",IF(D21&lt;&gt;"",ABS(F21),""),"")</f>
        <v/>
      </c>
      <c r="H21" s="128">
        <f>IF(C21&lt;&gt;"",IF(D21&lt;&gt;"",0,""),"")</f>
        <v/>
      </c>
      <c r="J21" s="146" t="n"/>
      <c r="K21" s="121">
        <f>IF(Q25&lt;&gt;"",Q25,"")</f>
        <v/>
      </c>
      <c r="L21" s="121">
        <f>IF(R25&lt;&gt;"",R25,"")</f>
        <v/>
      </c>
      <c r="M21" s="121">
        <f>IF(S25&lt;&gt;"",S25,"")</f>
        <v/>
      </c>
      <c r="N21" s="120">
        <f>T25</f>
        <v/>
      </c>
      <c r="P21" s="140" t="n">
        <v>14</v>
      </c>
      <c r="Q21" s="121">
        <f>IF(LINData!H28&lt;&gt;"",LINData!H28,"")</f>
        <v/>
      </c>
      <c r="R21" s="121">
        <f>IF(LINData!I28&lt;&gt;"",LINData!I28,"")</f>
        <v/>
      </c>
      <c r="S21" s="548">
        <f>IF(Q21&lt;&gt;"",Q21*$J$4+$J$6,"")</f>
        <v/>
      </c>
      <c r="T21" s="191">
        <f>IF(Q21&lt;&gt;"",ABS(R21/S21-1),"")</f>
        <v/>
      </c>
    </row>
    <row r="22">
      <c r="C22" s="543">
        <f>IF(LINData!B32&gt;0,IF(LINData!C32&gt;0,LINData!B32,""),"")</f>
        <v/>
      </c>
      <c r="D22" s="544">
        <f>IF(LINData!B32&gt;0,IF(LINData!C32&gt;0,LINData!C32,""),"")</f>
        <v/>
      </c>
      <c r="E22" s="545">
        <f>IF(C22&lt;&gt;"",IF(D22&lt;&gt;"",$B$9*C22+$B$10,""),"")</f>
        <v/>
      </c>
      <c r="F22" s="546">
        <f>IF(C22&lt;&gt;"",IF(D22&lt;&gt;"",(D22-E22)/$B$5*100,""),"")</f>
        <v/>
      </c>
      <c r="G22" s="128">
        <f>IF(C22&lt;&gt;"",IF(D22&lt;&gt;"",ABS(F22),""),"")</f>
        <v/>
      </c>
      <c r="H22" s="128">
        <f>IF(C22&lt;&gt;"",IF(D22&lt;&gt;"",0,""),"")</f>
        <v/>
      </c>
      <c r="J22" s="146" t="n"/>
      <c r="K22" s="121">
        <f>IF(Q26&lt;&gt;"",Q26,"")</f>
        <v/>
      </c>
      <c r="L22" s="121">
        <f>IF(R26&lt;&gt;"",R26,"")</f>
        <v/>
      </c>
      <c r="M22" s="121">
        <f>IF(S26&lt;&gt;"",S26,"")</f>
        <v/>
      </c>
      <c r="N22" s="120">
        <f>T26</f>
        <v/>
      </c>
      <c r="P22" s="140" t="n">
        <v>15</v>
      </c>
      <c r="Q22" s="121">
        <f>IF(LINData!H29&lt;&gt;"",LINData!H29,"")</f>
        <v/>
      </c>
      <c r="R22" s="121">
        <f>IF(LINData!I29&lt;&gt;"",LINData!I29,"")</f>
        <v/>
      </c>
      <c r="S22" s="548">
        <f>IF(Q22&lt;&gt;"",Q22*$J$4+$J$6,"")</f>
        <v/>
      </c>
      <c r="T22" s="191">
        <f>IF(Q22&lt;&gt;"",ABS(R22/S22-1),"")</f>
        <v/>
      </c>
    </row>
    <row r="23">
      <c r="C23" s="543">
        <f>IF(LINData!B33&gt;0,IF(LINData!C33&gt;0,LINData!B33,""),"")</f>
        <v/>
      </c>
      <c r="D23" s="544">
        <f>IF(LINData!B33&gt;0,IF(LINData!C33&gt;0,LINData!C33,""),"")</f>
        <v/>
      </c>
      <c r="E23" s="545">
        <f>IF(C23&lt;&gt;"",IF(D23&lt;&gt;"",$B$9*C23+$B$10,""),"")</f>
        <v/>
      </c>
      <c r="F23" s="546">
        <f>IF(C23&lt;&gt;"",IF(D23&lt;&gt;"",(D23-E23)/$B$5*100,""),"")</f>
        <v/>
      </c>
      <c r="G23" s="128">
        <f>IF(C23&lt;&gt;"",IF(D23&lt;&gt;"",ABS(F23),""),"")</f>
        <v/>
      </c>
      <c r="H23" s="128">
        <f>IF(C23&lt;&gt;"",IF(D23&lt;&gt;"",0,""),"")</f>
        <v/>
      </c>
      <c r="J23" s="146" t="n"/>
      <c r="K23" s="121">
        <f>IF(Q27&lt;&gt;"",Q27,"")</f>
        <v/>
      </c>
      <c r="L23" s="121">
        <f>IF(R27&lt;&gt;"",R27,"")</f>
        <v/>
      </c>
      <c r="M23" s="121">
        <f>IF(S27&lt;&gt;"",S27,"")</f>
        <v/>
      </c>
      <c r="N23" s="120">
        <f>T27</f>
        <v/>
      </c>
      <c r="P23" s="140" t="n">
        <v>16</v>
      </c>
      <c r="Q23" s="121">
        <f>IF(LINData!H30&lt;&gt;"",LINData!H30,"")</f>
        <v/>
      </c>
      <c r="R23" s="121">
        <f>IF(LINData!I30&lt;&gt;"",LINData!I30,"")</f>
        <v/>
      </c>
      <c r="S23" s="548">
        <f>IF(Q23&lt;&gt;"",Q23*$J$4+$J$6,"")</f>
        <v/>
      </c>
      <c r="T23" s="191">
        <f>IF(Q23&lt;&gt;"",ABS(R23/S23-1),"")</f>
        <v/>
      </c>
    </row>
    <row r="24">
      <c r="C24" s="543">
        <f>IF(LINData!B34&gt;0,IF(LINData!C34&gt;0,LINData!B34,""),"")</f>
        <v/>
      </c>
      <c r="D24" s="544">
        <f>IF(LINData!B34&gt;0,IF(LINData!C34&gt;0,LINData!C34,""),"")</f>
        <v/>
      </c>
      <c r="E24" s="545">
        <f>IF(C24&lt;&gt;"",IF(D24&lt;&gt;"",$B$9*C24+$B$10,""),"")</f>
        <v/>
      </c>
      <c r="F24" s="546">
        <f>IF(C24&lt;&gt;"",IF(D24&lt;&gt;"",(D24-E24)/$B$5*100,""),"")</f>
        <v/>
      </c>
      <c r="G24" s="128">
        <f>IF(C24&lt;&gt;"",IF(D24&lt;&gt;"",ABS(F24),""),"")</f>
        <v/>
      </c>
      <c r="H24" s="128">
        <f>IF(C24&lt;&gt;"",IF(D24&lt;&gt;"",0,""),"")</f>
        <v/>
      </c>
      <c r="J24" s="146" t="n"/>
      <c r="K24" s="121">
        <f>IF(Q28&lt;&gt;"",Q28,"")</f>
        <v/>
      </c>
      <c r="L24" s="121">
        <f>IF(R28&lt;&gt;"",R28,"")</f>
        <v/>
      </c>
      <c r="M24" s="121">
        <f>IF(S28&lt;&gt;"",S28,"")</f>
        <v/>
      </c>
      <c r="N24" s="120">
        <f>T28</f>
        <v/>
      </c>
      <c r="P24" s="140" t="n">
        <v>17</v>
      </c>
      <c r="Q24" s="121">
        <f>IF(LINData!H31&lt;&gt;"",LINData!H31,"")</f>
        <v/>
      </c>
      <c r="R24" s="121">
        <f>IF(LINData!I31&lt;&gt;"",LINData!I31,"")</f>
        <v/>
      </c>
      <c r="S24" s="548">
        <f>IF(Q24&lt;&gt;"",Q24*$J$4+$J$6,"")</f>
        <v/>
      </c>
      <c r="T24" s="191">
        <f>IF(Q24&lt;&gt;"",ABS(R24/S24-1),"")</f>
        <v/>
      </c>
    </row>
    <row r="25" ht="15" customHeight="1" s="369">
      <c r="C25" s="543">
        <f>IF(LINData!B35&gt;0,IF(LINData!C35&gt;0,LINData!B35,""),"")</f>
        <v/>
      </c>
      <c r="D25" s="544">
        <f>IF(LINData!B35&gt;0,IF(LINData!C35&gt;0,LINData!C35,""),"")</f>
        <v/>
      </c>
      <c r="E25" s="545">
        <f>IF(C25&lt;&gt;"",IF(D25&lt;&gt;"",$B$9*C25+$B$10,""),"")</f>
        <v/>
      </c>
      <c r="F25" s="546">
        <f>IF(C25&lt;&gt;"",IF(D25&lt;&gt;"",(D25-E25)/$B$5*100,""),"")</f>
        <v/>
      </c>
      <c r="G25" s="128">
        <f>IF(C25&lt;&gt;"",IF(D25&lt;&gt;"",ABS(F25),""),"")</f>
        <v/>
      </c>
      <c r="H25" s="128">
        <f>IF(C25&lt;&gt;"",IF(D25&lt;&gt;"",0,""),"")</f>
        <v/>
      </c>
      <c r="J25" s="146" t="n"/>
      <c r="K25" s="121">
        <f>IF(Q29&lt;&gt;"",Q29,"")</f>
        <v/>
      </c>
      <c r="L25" s="121">
        <f>IF(R29&lt;&gt;"",R29,"")</f>
        <v/>
      </c>
      <c r="M25" s="121">
        <f>IF(S29&lt;&gt;"",S29,"")</f>
        <v/>
      </c>
      <c r="N25" s="120">
        <f>T29</f>
        <v/>
      </c>
      <c r="P25" s="140" t="n">
        <v>18</v>
      </c>
      <c r="Q25" s="121">
        <f>IF(LINData!H32&lt;&gt;"",LINData!H32,"")</f>
        <v/>
      </c>
      <c r="R25" s="121">
        <f>IF(LINData!I32&lt;&gt;"",LINData!I32,"")</f>
        <v/>
      </c>
      <c r="S25" s="548">
        <f>IF(Q25&lt;&gt;"",Q25*$J$4+$J$6,"")</f>
        <v/>
      </c>
      <c r="T25" s="191">
        <f>IF(Q25&lt;&gt;"",ABS(R25/S25-1),"")</f>
        <v/>
      </c>
    </row>
    <row r="26" ht="15" customHeight="1" s="369">
      <c r="C26" s="543">
        <f>IF(LINData!B36&gt;0,IF(LINData!C36&gt;0,LINData!B36,""),"")</f>
        <v/>
      </c>
      <c r="D26" s="544">
        <f>IF(LINData!B36&gt;0,IF(LINData!C36&gt;0,LINData!C36,""),"")</f>
        <v/>
      </c>
      <c r="E26" s="545">
        <f>IF(C26&lt;&gt;"",IF(D26&lt;&gt;"",$B$9*C26+$B$10,""),"")</f>
        <v/>
      </c>
      <c r="F26" s="546">
        <f>IF(C26&lt;&gt;"",IF(D26&lt;&gt;"",(D26-E26)/$B$5*100,""),"")</f>
        <v/>
      </c>
      <c r="G26" s="128">
        <f>IF(C26&lt;&gt;"",IF(D26&lt;&gt;"",ABS(F26),""),"")</f>
        <v/>
      </c>
      <c r="H26" s="128">
        <f>IF(C26&lt;&gt;"",IF(D26&lt;&gt;"",0,""),"")</f>
        <v/>
      </c>
      <c r="J26" s="146" t="n"/>
      <c r="K26" s="121">
        <f>IF(Q30&lt;&gt;"",Q30,"")</f>
        <v/>
      </c>
      <c r="L26" s="121">
        <f>IF(R30&lt;&gt;"",R30,"")</f>
        <v/>
      </c>
      <c r="M26" s="121">
        <f>IF(S30&lt;&gt;"",S30,"")</f>
        <v/>
      </c>
      <c r="N26" s="120">
        <f>T30</f>
        <v/>
      </c>
      <c r="P26" s="140" t="n">
        <v>19</v>
      </c>
      <c r="Q26" s="121">
        <f>IF(LINData!H33&lt;&gt;"",LINData!H33,"")</f>
        <v/>
      </c>
      <c r="R26" s="121">
        <f>IF(LINData!I33&lt;&gt;"",LINData!I33,"")</f>
        <v/>
      </c>
      <c r="S26" s="548">
        <f>IF(Q26&lt;&gt;"",Q26*$J$4+$J$6,"")</f>
        <v/>
      </c>
      <c r="T26" s="191">
        <f>IF(Q26&lt;&gt;"",ABS(R26/S26-1),"")</f>
        <v/>
      </c>
    </row>
    <row r="27" ht="15" customHeight="1" s="369">
      <c r="C27" s="543">
        <f>IF(LINData!B37&gt;0,IF(LINData!C37&gt;0,LINData!B37,""),"")</f>
        <v/>
      </c>
      <c r="D27" s="544">
        <f>IF(LINData!B37&gt;0,IF(LINData!C37&gt;0,LINData!C37,""),"")</f>
        <v/>
      </c>
      <c r="E27" s="545">
        <f>IF(C27&lt;&gt;"",IF(D27&lt;&gt;"",$B$9*C27+$B$10,""),"")</f>
        <v/>
      </c>
      <c r="F27" s="546">
        <f>IF(C27&lt;&gt;"",IF(D27&lt;&gt;"",(D27-E27)/$B$5*100,""),"")</f>
        <v/>
      </c>
      <c r="G27" s="128">
        <f>IF(C27&lt;&gt;"",IF(D27&lt;&gt;"",ABS(F27),""),"")</f>
        <v/>
      </c>
      <c r="H27" s="128">
        <f>IF(C27&lt;&gt;"",IF(D27&lt;&gt;"",0,""),"")</f>
        <v/>
      </c>
      <c r="J27" s="146" t="n"/>
      <c r="K27" s="121">
        <f>IF(Q31&lt;&gt;"",Q31,"")</f>
        <v/>
      </c>
      <c r="L27" s="121">
        <f>IF(R31&lt;&gt;"",R31,"")</f>
        <v/>
      </c>
      <c r="M27" s="121">
        <f>IF(S31&lt;&gt;"",S31,"")</f>
        <v/>
      </c>
      <c r="N27" s="120">
        <f>T31</f>
        <v/>
      </c>
      <c r="P27" s="140" t="n">
        <v>20</v>
      </c>
      <c r="Q27" s="121">
        <f>IF(LINData!H34&lt;&gt;"",LINData!H34,"")</f>
        <v/>
      </c>
      <c r="R27" s="121">
        <f>IF(LINData!I34&lt;&gt;"",LINData!I34,"")</f>
        <v/>
      </c>
      <c r="S27" s="548">
        <f>IF(Q27&lt;&gt;"",Q27*$J$4+$J$6,"")</f>
        <v/>
      </c>
      <c r="T27" s="191">
        <f>IF(Q27&lt;&gt;"",ABS(R27/S27-1),"")</f>
        <v/>
      </c>
    </row>
    <row r="28" ht="15" customHeight="1" s="369">
      <c r="C28" s="543">
        <f>IF(LINData!B38&gt;0,IF(LINData!C38&gt;0,LINData!B38,""),"")</f>
        <v/>
      </c>
      <c r="D28" s="544">
        <f>IF(LINData!B38&gt;0,IF(LINData!C38&gt;0,LINData!C38,""),"")</f>
        <v/>
      </c>
      <c r="E28" s="545">
        <f>IF(C28&lt;&gt;"",IF(D28&lt;&gt;"",$B$9*C28+$B$10,""),"")</f>
        <v/>
      </c>
      <c r="F28" s="546">
        <f>IF(C28&lt;&gt;"",IF(D28&lt;&gt;"",(D28-E28)/$B$5*100,""),"")</f>
        <v/>
      </c>
      <c r="G28" s="128">
        <f>IF(C28&lt;&gt;"",IF(D28&lt;&gt;"",ABS(F28),""),"")</f>
        <v/>
      </c>
      <c r="H28" s="128">
        <f>IF(C28&lt;&gt;"",IF(D28&lt;&gt;"",0,""),"")</f>
        <v/>
      </c>
      <c r="P28" s="140" t="n">
        <v>21</v>
      </c>
      <c r="Q28" s="121">
        <f>IF(LINData!H35&lt;&gt;"",LINData!H35,"")</f>
        <v/>
      </c>
      <c r="R28" s="121">
        <f>IF(LINData!I35&lt;&gt;"",LINData!I35,"")</f>
        <v/>
      </c>
      <c r="S28" s="548">
        <f>IF(Q28&lt;&gt;"",Q28*$J$4+$J$6,"")</f>
        <v/>
      </c>
      <c r="T28" s="191">
        <f>IF(Q28&lt;&gt;"",ABS(R28/S28-1),"")</f>
        <v/>
      </c>
    </row>
    <row r="29" ht="15" customHeight="1" s="369">
      <c r="C29" s="543">
        <f>IF(LINData!B39&gt;0,IF(LINData!C39&gt;0,LINData!B39,""),"")</f>
        <v/>
      </c>
      <c r="D29" s="544">
        <f>IF(LINData!B39&gt;0,IF(LINData!C39&gt;0,LINData!C39,""),"")</f>
        <v/>
      </c>
      <c r="E29" s="545">
        <f>IF(C29&lt;&gt;"",IF(D29&lt;&gt;"",$B$9*C29+$B$10,""),"")</f>
        <v/>
      </c>
      <c r="F29" s="546">
        <f>IF(C29&lt;&gt;"",IF(D29&lt;&gt;"",(D29-E29)/$B$5*100,""),"")</f>
        <v/>
      </c>
      <c r="G29" s="128">
        <f>IF(C29&lt;&gt;"",IF(D29&lt;&gt;"",ABS(F29),""),"")</f>
        <v/>
      </c>
      <c r="H29" s="128">
        <f>IF(C29&lt;&gt;"",IF(D29&lt;&gt;"",0,""),"")</f>
        <v/>
      </c>
      <c r="J29" s="371" t="inlineStr">
        <is>
          <t>Report Workbook Version:</t>
        </is>
      </c>
      <c r="L29" s="493" t="inlineStr">
        <is>
          <t>Version: 3.2.4</t>
        </is>
      </c>
      <c r="P29" s="140" t="n">
        <v>22</v>
      </c>
      <c r="Q29" s="121">
        <f>IF(LINData!H36&lt;&gt;"",LINData!H36,"")</f>
        <v/>
      </c>
      <c r="R29" s="121">
        <f>IF(LINData!I36&lt;&gt;"",LINData!I36,"")</f>
        <v/>
      </c>
      <c r="S29" s="548">
        <f>IF(Q29&lt;&gt;"",Q29*$J$4+$J$6,"")</f>
        <v/>
      </c>
      <c r="T29" s="191">
        <f>IF(Q29&lt;&gt;"",ABS(R29/S29-1),"")</f>
        <v/>
      </c>
    </row>
    <row r="30" ht="15" customHeight="1" s="369">
      <c r="C30" s="543">
        <f>IF(LINData!B40&gt;0,IF(LINData!C40&gt;0,LINData!B40,""),"")</f>
        <v/>
      </c>
      <c r="D30" s="544">
        <f>IF(LINData!B40&gt;0,IF(LINData!C40&gt;0,LINData!C40,""),"")</f>
        <v/>
      </c>
      <c r="E30" s="545">
        <f>IF(C30&lt;&gt;"",IF(D30&lt;&gt;"",$B$9*C30+$B$10,""),"")</f>
        <v/>
      </c>
      <c r="F30" s="546">
        <f>IF(C30&lt;&gt;"",IF(D30&lt;&gt;"",(D30-E30)/$B$5*100,""),"")</f>
        <v/>
      </c>
      <c r="G30" s="128">
        <f>IF(C30&lt;&gt;"",IF(D30&lt;&gt;"",ABS(F30),""),"")</f>
        <v/>
      </c>
      <c r="H30" s="128">
        <f>IF(C30&lt;&gt;"",IF(D30&lt;&gt;"",0,""),"")</f>
        <v/>
      </c>
      <c r="P30" s="140" t="n">
        <v>23</v>
      </c>
      <c r="Q30" s="121">
        <f>IF(LINData!H37&lt;&gt;"",LINData!H37,"")</f>
        <v/>
      </c>
      <c r="R30" s="121">
        <f>IF(LINData!I37&lt;&gt;"",LINData!I37,"")</f>
        <v/>
      </c>
      <c r="S30" s="548">
        <f>IF(Q30&lt;&gt;"",Q30*$J$4+$J$6,"")</f>
        <v/>
      </c>
      <c r="T30" s="191">
        <f>IF(Q30&lt;&gt;"",ABS(R30/S30-1),"")</f>
        <v/>
      </c>
    </row>
    <row r="31" ht="15" customHeight="1" s="369">
      <c r="C31" s="543">
        <f>IF(LINData!B41&gt;0,IF(LINData!C41&gt;0,LINData!B41,""),"")</f>
        <v/>
      </c>
      <c r="D31" s="544">
        <f>IF(LINData!B41&gt;0,IF(LINData!C41&gt;0,LINData!C41,""),"")</f>
        <v/>
      </c>
      <c r="E31" s="545">
        <f>IF(C31&lt;&gt;"",IF(D31&lt;&gt;"",$B$9*C31+$B$10,""),"")</f>
        <v/>
      </c>
      <c r="F31" s="546">
        <f>IF(C31&lt;&gt;"",IF(D31&lt;&gt;"",(D31-E31)/$B$5*100,""),"")</f>
        <v/>
      </c>
      <c r="G31" s="128">
        <f>IF(C31&lt;&gt;"",IF(D31&lt;&gt;"",ABS(F31),""),"")</f>
        <v/>
      </c>
      <c r="H31" s="128">
        <f>IF(C31&lt;&gt;"",IF(D31&lt;&gt;"",0,""),"")</f>
        <v/>
      </c>
      <c r="P31" s="140" t="n">
        <v>24</v>
      </c>
      <c r="Q31" s="121">
        <f>IF(LINData!H38&lt;&gt;"",LINData!H38,"")</f>
        <v/>
      </c>
      <c r="R31" s="121">
        <f>IF(LINData!I38&lt;&gt;"",LINData!I38,"")</f>
        <v/>
      </c>
      <c r="S31" s="548">
        <f>IF(Q31&lt;&gt;"",Q31*$J$4+$J$6,"")</f>
        <v/>
      </c>
      <c r="T31" s="191">
        <f>IF(Q31&lt;&gt;"",ABS(R31/S31-1),"")</f>
        <v/>
      </c>
    </row>
    <row r="32" ht="15" customHeight="1" s="369">
      <c r="C32" s="543">
        <f>IF(LINData!B42&gt;0,IF(LINData!C42&gt;0,LINData!B42,""),"")</f>
        <v/>
      </c>
      <c r="D32" s="544">
        <f>IF(LINData!B42&gt;0,IF(LINData!C42&gt;0,LINData!C42,""),"")</f>
        <v/>
      </c>
      <c r="E32" s="545">
        <f>IF(C32&lt;&gt;"",IF(D32&lt;&gt;"",$B$9*C32+$B$10,""),"")</f>
        <v/>
      </c>
      <c r="F32" s="546">
        <f>IF(C32&lt;&gt;"",IF(D32&lt;&gt;"",(D32-E32)/$B$5*100,""),"")</f>
        <v/>
      </c>
      <c r="G32" s="128">
        <f>IF(C32&lt;&gt;"",IF(D32&lt;&gt;"",ABS(F32),""),"")</f>
        <v/>
      </c>
      <c r="H32" s="128">
        <f>IF(C32&lt;&gt;"",IF(D32&lt;&gt;"",0,""),"")</f>
        <v/>
      </c>
      <c r="P32" s="140" t="n">
        <v>25</v>
      </c>
      <c r="Q32" s="121">
        <f>IF(LINData!H39&lt;&gt;"",LINData!H39,"")</f>
        <v/>
      </c>
      <c r="R32" s="121">
        <f>IF(LINData!I39&lt;&gt;"",LINData!I39,"")</f>
        <v/>
      </c>
      <c r="S32" s="548">
        <f>IF(Q32&lt;&gt;"",Q32*$J$4+$J$6,"")</f>
        <v/>
      </c>
      <c r="T32" s="191">
        <f>IF(Q32&lt;&gt;"",ABS(R32/S32-1),"")</f>
        <v/>
      </c>
    </row>
    <row r="33" ht="15" customHeight="1" s="369">
      <c r="C33" s="543">
        <f>IF(LINData!B43&gt;0,IF(LINData!C43&gt;0,LINData!B43,""),"")</f>
        <v/>
      </c>
      <c r="D33" s="544">
        <f>IF(LINData!B43&gt;0,IF(LINData!C43&gt;0,LINData!C43,""),"")</f>
        <v/>
      </c>
      <c r="E33" s="545">
        <f>IF(C33&lt;&gt;"",IF(D33&lt;&gt;"",$B$9*C33+$B$10,""),"")</f>
        <v/>
      </c>
      <c r="F33" s="546">
        <f>IF(C33&lt;&gt;"",IF(D33&lt;&gt;"",(D33-E33)/$B$5*100,""),"")</f>
        <v/>
      </c>
      <c r="G33" s="128">
        <f>IF(C33&lt;&gt;"",IF(D33&lt;&gt;"",ABS(F33),""),"")</f>
        <v/>
      </c>
      <c r="H33" s="128">
        <f>IF(C33&lt;&gt;"",IF(D33&lt;&gt;"",0,""),"")</f>
        <v/>
      </c>
    </row>
    <row r="34" ht="15" customHeight="1" s="369"/>
  </sheetData>
  <mergeCells count="3">
    <mergeCell ref="L29:M29"/>
    <mergeCell ref="J29:K29"/>
    <mergeCell ref="A1:H1"/>
  </mergeCells>
  <pageMargins left="0.53" right="0.51" top="1" bottom="1" header="0.5" footer="0.5"/>
  <pageSetup orientation="landscape" horizontalDpi="4294967292" verticalDpi="300"/>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Andrew Robb</dc:creator>
  <dc:title>PVC Report Generation Workbook</dc:title>
  <dc:description>Version 1.0.4</dc:description>
  <dc:subject>Version 3.2.0</dc:subject>
  <dcterms:created xsi:type="dcterms:W3CDTF">2010-02-01T22:45:06Z</dcterms:created>
  <dcterms:modified xsi:type="dcterms:W3CDTF">2026-04-02T11:04:33Z</dcterms:modified>
  <cp:lastModifiedBy>Andrew Robb</cp:lastModifiedBy>
  <cp:lastPrinted>2026-03-31T08:46:18Z</cp:lastPrinted>
</cp:coreProperties>
</file>